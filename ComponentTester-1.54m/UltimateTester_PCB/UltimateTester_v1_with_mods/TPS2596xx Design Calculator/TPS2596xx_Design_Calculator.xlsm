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media/image1.png" ContentType="image/png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alculation Sheet" sheetId="1" state="visible" r:id="rId3"/>
    <sheet name="Thermal Shutdown Limit Plot" sheetId="2" state="visible" r:id="rId4"/>
    <sheet name="Res EIA Tables" sheetId="3" state="visible" r:id="rId5"/>
    <sheet name="Cap Tables" sheetId="4" state="visible" r:id="rId6"/>
  </sheets>
  <definedNames>
    <definedName function="false" hidden="false" name="Cdvdt_ext" vbProcedure="false">'Calculation Sheet'!$D$75</definedName>
    <definedName function="false" hidden="false" name="Cdvdt_ext_cal1" vbProcedure="false">'Calculation Sheet'!$D$72</definedName>
    <definedName function="false" hidden="false" name="Cext_dvdt_cal2" vbProcedure="false">'Calculation Sheet'!$D$73</definedName>
    <definedName function="false" hidden="false" name="Cout" vbProcedure="false">'Calculation Sheet'!$D$19</definedName>
    <definedName function="false" hidden="false" name="GainIMON" vbProcedure="false">'Calculation Sheet'!$D$108</definedName>
    <definedName function="false" hidden="false" name="Gain_dVdt" vbProcedure="false">'Calculation Sheet'!$D$67</definedName>
    <definedName function="false" hidden="false" name="Icharge" vbProcedure="false">'Calculation Sheet'!$D$76</definedName>
    <definedName function="false" hidden="false" name="Icharge_req" vbProcedure="false">'Calculation Sheet'!$D$71</definedName>
    <definedName function="false" hidden="false" name="Ilimit" vbProcedure="false">'Calculation Sheet'!$D$22</definedName>
    <definedName function="false" hidden="false" name="Ilimit_final" vbProcedure="false">'Calculation Sheet'!$D$61</definedName>
    <definedName function="false" hidden="false" name="Imax" vbProcedure="false">'Calculation Sheet'!$D$21</definedName>
    <definedName function="false" hidden="false" name="I_dVdt" vbProcedure="false">'Calculation Sheet'!$D$66</definedName>
    <definedName function="false" hidden="false" name="OVref" vbProcedure="false">'Calculation Sheet'!$D$107</definedName>
    <definedName function="false" hidden="false" name="OVset" vbProcedure="false">'calculation sheet'!#ref!</definedName>
    <definedName function="false" hidden="false" name="Rdson_125deg" vbProcedure="false">'Calculation Sheet'!$D$100</definedName>
    <definedName function="false" hidden="false" name="Rdson_25deg" vbProcedure="false">'Calculation Sheet'!$D$99</definedName>
    <definedName function="false" hidden="false" name="RILM" vbProcedure="false">'Calculation Sheet'!$D$60</definedName>
    <definedName function="false" hidden="false" name="Rlimit" vbProcedure="false">'Calculation Sheet'!$D$60</definedName>
    <definedName function="false" hidden="false" name="Rlstart" vbProcedure="false">'Calculation Sheet'!$D$20</definedName>
    <definedName function="false" hidden="false" name="RpUVLO" vbProcedure="false">'Calculation Sheet'!$D$34</definedName>
    <definedName function="false" hidden="false" name="Tchg_dvdt" vbProcedure="false">'Calculation Sheet'!$D$78</definedName>
    <definedName function="false" hidden="false" name="Tchg_req" vbProcedure="false">'Calculation Sheet'!$D$70</definedName>
    <definedName function="false" hidden="false" name="UVref" vbProcedure="false">'Calculation Sheet'!$D$106</definedName>
    <definedName function="false" hidden="false" name="Vcc_max" vbProcedure="false">'Calculation Sheet'!$D$13</definedName>
    <definedName function="false" hidden="false" name="VUVP" vbProcedure="false">'Calculation Sheet'!$D$18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34" authorId="0">
      <text>
        <r>
          <rPr>
            <sz val="11"/>
            <color rgb="FF000000"/>
            <rFont val="Calibri"/>
            <family val="2"/>
            <charset val="1"/>
          </rPr>
          <t xml:space="preserve">Higher value will limit the input current drawn from source</t>
        </r>
      </text>
    </comment>
    <comment ref="C45" authorId="0">
      <text>
        <r>
          <rPr>
            <sz val="11"/>
            <color rgb="FF000000"/>
            <rFont val="Calibri"/>
            <family val="2"/>
            <charset val="1"/>
          </rPr>
          <t xml:space="preserve">Higher value will limit the input current drawn from source</t>
        </r>
      </text>
    </comment>
    <comment ref="G20" authorId="0">
      <text>
        <r>
          <rPr>
            <sz val="11"/>
            <color rgb="FF000000"/>
            <rFont val="Calibri"/>
            <family val="2"/>
            <charset val="1"/>
          </rPr>
          <t xml:space="preserve">Min Rlstart allowed.</t>
        </r>
      </text>
    </comment>
  </commentList>
</comments>
</file>

<file path=xl/sharedStrings.xml><?xml version="1.0" encoding="utf-8"?>
<sst xmlns="http://schemas.openxmlformats.org/spreadsheetml/2006/main" count="332" uniqueCount="217">
  <si>
    <t xml:space="preserve">TPS2596xx Design Calculation Tool</t>
  </si>
  <si>
    <t xml:space="preserve">Table - 1: Device Comparison Table</t>
  </si>
  <si>
    <t xml:space="preserve">Part number</t>
  </si>
  <si>
    <t xml:space="preserve">Overvoltage Response</t>
  </si>
  <si>
    <t xml:space="preserve">Response to Thermal Shutdown (TSD)</t>
  </si>
  <si>
    <t xml:space="preserve">Constants Cells</t>
  </si>
  <si>
    <t xml:space="preserve">TPS259620</t>
  </si>
  <si>
    <t xml:space="preserve">OVC - 3.8 V, 5.7 V, 13.7 V (Pin Selectable)</t>
  </si>
  <si>
    <t xml:space="preserve">Latch-off</t>
  </si>
  <si>
    <t xml:space="preserve">Input/SelectCells</t>
  </si>
  <si>
    <t xml:space="preserve">TPS259621</t>
  </si>
  <si>
    <t xml:space="preserve">Auto-retry</t>
  </si>
  <si>
    <t xml:space="preserve">Calculation Cells</t>
  </si>
  <si>
    <t xml:space="preserve">TPS259630</t>
  </si>
  <si>
    <t xml:space="preserve">Adjustable OVLO</t>
  </si>
  <si>
    <t xml:space="preserve">Calculated, but can be over-ridden by user</t>
  </si>
  <si>
    <t xml:space="preserve">TPS259531</t>
  </si>
  <si>
    <t xml:space="preserve">Error Cells, Must be Fixed</t>
  </si>
  <si>
    <t xml:space="preserve">Parameter</t>
  </si>
  <si>
    <t xml:space="preserve">Description</t>
  </si>
  <si>
    <t xml:space="preserve">Value </t>
  </si>
  <si>
    <t xml:space="preserve"> Units</t>
  </si>
  <si>
    <t xml:space="preserve">Tolerance</t>
  </si>
  <si>
    <t xml:space="preserve">Recommended Value</t>
  </si>
  <si>
    <t xml:space="preserve">Select Device</t>
  </si>
  <si>
    <t xml:space="preserve">Refer to Table-1 and select based on OverVoltage Clamp/Lockout and Latch-off/Auto-retry requirement</t>
  </si>
  <si>
    <t xml:space="preserve">VIN (max)</t>
  </si>
  <si>
    <t xml:space="preserve">Maximum Operating input voltage (magnitude)</t>
  </si>
  <si>
    <t xml:space="preserve">V</t>
  </si>
  <si>
    <t xml:space="preserve">VIN (max) Selected</t>
  </si>
  <si>
    <t xml:space="preserve">Maximum Operating input voltage selected from D6 and D7</t>
  </si>
  <si>
    <r>
      <rPr>
        <sz val="11"/>
        <color rgb="FF000000"/>
        <rFont val="Calibri"/>
        <family val="2"/>
        <charset val="1"/>
      </rPr>
      <t xml:space="preserve">V</t>
    </r>
    <r>
      <rPr>
        <vertAlign val="subscript"/>
        <sz val="11"/>
        <color rgb="FF000000"/>
        <rFont val="Calibri"/>
        <family val="2"/>
        <charset val="1"/>
      </rPr>
      <t xml:space="preserve">CLAMP</t>
    </r>
  </si>
  <si>
    <t xml:space="preserve">Desired Over Voltage Clamp </t>
  </si>
  <si>
    <t xml:space="preserve">OVLO Set Point</t>
  </si>
  <si>
    <t xml:space="preserve">Desired Over Voltage Lockout Set Point</t>
  </si>
  <si>
    <t xml:space="preserve">VOVC</t>
  </si>
  <si>
    <t xml:space="preserve">UVLO Set Point</t>
  </si>
  <si>
    <t xml:space="preserve">Desired Undervoltage Threshold (VIN Rising)</t>
  </si>
  <si>
    <t xml:space="preserve">R_OVCSEL</t>
  </si>
  <si>
    <t xml:space="preserve">Short to GND</t>
  </si>
  <si>
    <t xml:space="preserve">Open</t>
  </si>
  <si>
    <r>
      <rPr>
        <sz val="11"/>
        <color rgb="FF000000"/>
        <rFont val="Calibri"/>
        <family val="2"/>
        <charset val="1"/>
      </rPr>
      <t xml:space="preserve">V</t>
    </r>
    <r>
      <rPr>
        <vertAlign val="subscript"/>
        <sz val="11"/>
        <color rgb="FF000000"/>
        <rFont val="Calibri"/>
        <family val="2"/>
        <charset val="1"/>
      </rPr>
      <t xml:space="preserve">UVP</t>
    </r>
  </si>
  <si>
    <t xml:space="preserve">Internal Undervoltage Protection Threshold (VIN Rising)</t>
  </si>
  <si>
    <t xml:space="preserve">Cout</t>
  </si>
  <si>
    <t xml:space="preserve">Load Capacitance</t>
  </si>
  <si>
    <t xml:space="preserve">uF</t>
  </si>
  <si>
    <t xml:space="preserve">Rlstart</t>
  </si>
  <si>
    <t xml:space="preserve">Load at start-up (assumed to be resistive), Refer to Section 9.2.3.3.2 in Datasheet</t>
  </si>
  <si>
    <t xml:space="preserve">Ohm</t>
  </si>
  <si>
    <t xml:space="preserve">Imax</t>
  </si>
  <si>
    <t xml:space="preserve">Maximum continuous load current (magnitude)</t>
  </si>
  <si>
    <t xml:space="preserve">A</t>
  </si>
  <si>
    <t xml:space="preserve">Ilimit</t>
  </si>
  <si>
    <t xml:space="preserve">Current Limit, 10.5% higher than maximum continuous load current</t>
  </si>
  <si>
    <r>
      <rPr>
        <sz val="11"/>
        <color rgb="FF000000"/>
        <rFont val="Calibri"/>
        <family val="2"/>
        <charset val="1"/>
      </rPr>
      <t xml:space="preserve">T</t>
    </r>
    <r>
      <rPr>
        <vertAlign val="subscript"/>
        <sz val="11"/>
        <color rgb="FF000000"/>
        <rFont val="Calibri"/>
        <family val="2"/>
        <charset val="1"/>
      </rPr>
      <t xml:space="preserve">A, MAX</t>
    </r>
  </si>
  <si>
    <t xml:space="preserve">Maximum Operating Ambient temperature</t>
  </si>
  <si>
    <t xml:space="preserve">°C</t>
  </si>
  <si>
    <r>
      <rPr>
        <sz val="11"/>
        <color rgb="FF000000"/>
        <rFont val="Calibri"/>
        <family val="2"/>
        <charset val="1"/>
      </rPr>
      <t xml:space="preserve">R</t>
    </r>
    <r>
      <rPr>
        <vertAlign val="subscript"/>
        <sz val="11"/>
        <color rgb="FF000000"/>
        <rFont val="Calibri"/>
        <family val="2"/>
        <charset val="1"/>
      </rPr>
      <t xml:space="preserve">θJA</t>
    </r>
  </si>
  <si>
    <t xml:space="preserve">Junction-to-Ambient Thermal Resistance</t>
  </si>
  <si>
    <t xml:space="preserve">°C/W</t>
  </si>
  <si>
    <r>
      <rPr>
        <i val="true"/>
        <sz val="16"/>
        <rFont val="Calibri"/>
        <family val="2"/>
        <charset val="1"/>
      </rPr>
      <t xml:space="preserve">OVC set point calculations </t>
    </r>
    <r>
      <rPr>
        <b val="true"/>
        <i val="true"/>
        <sz val="16"/>
        <rFont val="Calibri"/>
        <family val="2"/>
        <charset val="1"/>
      </rPr>
      <t xml:space="preserve">(TPS25962x)</t>
    </r>
  </si>
  <si>
    <r>
      <rPr>
        <sz val="11"/>
        <color rgb="FF000000"/>
        <rFont val="Calibri"/>
        <family val="2"/>
        <charset val="1"/>
      </rPr>
      <t xml:space="preserve">V</t>
    </r>
    <r>
      <rPr>
        <vertAlign val="subscript"/>
        <sz val="11"/>
        <color rgb="FF000000"/>
        <rFont val="Calibri"/>
        <family val="2"/>
        <charset val="1"/>
      </rPr>
      <t xml:space="preserve">OVC</t>
    </r>
  </si>
  <si>
    <t xml:space="preserve">Over Voltage Clamp</t>
  </si>
  <si>
    <t xml:space="preserve">Calculated value of Resistor at OVCSEL pin</t>
  </si>
  <si>
    <t xml:space="preserve">kOhm</t>
  </si>
  <si>
    <r>
      <rPr>
        <i val="true"/>
        <sz val="16"/>
        <rFont val="Calibri"/>
        <family val="2"/>
        <charset val="1"/>
      </rPr>
      <t xml:space="preserve">UVLO set point calculations </t>
    </r>
    <r>
      <rPr>
        <b val="true"/>
        <i val="true"/>
        <sz val="16"/>
        <rFont val="Calibri"/>
        <family val="2"/>
        <charset val="1"/>
      </rPr>
      <t xml:space="preserve">(TPS25962x)</t>
    </r>
  </si>
  <si>
    <t xml:space="preserve">R1: Pullup at EN/UVLO Pin</t>
  </si>
  <si>
    <t xml:space="preserve">Select a value &gt; 100K to keep I_R12 low</t>
  </si>
  <si>
    <t xml:space="preserve">R2_cal</t>
  </si>
  <si>
    <t xml:space="preserve">Calculated value of Resistor at EN/UVLO pin</t>
  </si>
  <si>
    <t xml:space="preserve">Power Fail 
(VIN Falling)</t>
  </si>
  <si>
    <t xml:space="preserve">SELECT THE VALUE OF RESISTORS AS CLOSEST AVAILABLE VALUE OF R2</t>
  </si>
  <si>
    <t xml:space="preserve">Release UVLO (VIN Rising)</t>
  </si>
  <si>
    <t xml:space="preserve">R2</t>
  </si>
  <si>
    <t xml:space="preserve">Select the closest possible value as R2_cal</t>
  </si>
  <si>
    <t xml:space="preserve">OV Clamp
(VIN Rising)</t>
  </si>
  <si>
    <t xml:space="preserve">UV_final_rising</t>
  </si>
  <si>
    <t xml:space="preserve">Undervoltage Threshold (VIN Rising)</t>
  </si>
  <si>
    <t xml:space="preserve">UV_final_falling</t>
  </si>
  <si>
    <t xml:space="preserve">Undervoltage Threshold (VIN Falling)</t>
  </si>
  <si>
    <t xml:space="preserve">I_R12</t>
  </si>
  <si>
    <t xml:space="preserve">Current in R1, R2 Branch</t>
  </si>
  <si>
    <t xml:space="preserve">uA</t>
  </si>
  <si>
    <r>
      <rPr>
        <i val="true"/>
        <sz val="16"/>
        <rFont val="Calibri"/>
        <family val="2"/>
        <charset val="1"/>
      </rPr>
      <t xml:space="preserve">UVLO, OVLO set point calculations </t>
    </r>
    <r>
      <rPr>
        <b val="true"/>
        <i val="true"/>
        <sz val="16"/>
        <rFont val="Calibri"/>
        <family val="2"/>
        <charset val="1"/>
      </rPr>
      <t xml:space="preserve">(TPS259563x)</t>
    </r>
  </si>
  <si>
    <t xml:space="preserve">R2+R3</t>
  </si>
  <si>
    <t xml:space="preserve">Power Fail (VIN Falling)</t>
  </si>
  <si>
    <t xml:space="preserve">R1: Pullup at EN/OVLO Pin</t>
  </si>
  <si>
    <t xml:space="preserve">Select a value &gt; 100K to keep I_R123 low</t>
  </si>
  <si>
    <t xml:space="preserve">Calculated value of Resistor at EN/OVLO pin</t>
  </si>
  <si>
    <t xml:space="preserve">Release OVLO (VIN Falling)</t>
  </si>
  <si>
    <t xml:space="preserve">R3_cal</t>
  </si>
  <si>
    <t xml:space="preserve">OV Cutoff (VIN Rising)</t>
  </si>
  <si>
    <t xml:space="preserve">R3</t>
  </si>
  <si>
    <t xml:space="preserve">Select the closest possible value as R3_cal</t>
  </si>
  <si>
    <t xml:space="preserve">OV_final_rising</t>
  </si>
  <si>
    <t xml:space="preserve">Overvoltage Threshold (VIN Rising)</t>
  </si>
  <si>
    <t xml:space="preserve">OV_final_falling</t>
  </si>
  <si>
    <t xml:space="preserve">Overvoltage Threshold (VIN Falling)</t>
  </si>
  <si>
    <t xml:space="preserve">I_R123</t>
  </si>
  <si>
    <t xml:space="preserve">Current in R1, R2 and R3 Branch</t>
  </si>
  <si>
    <t xml:space="preserve">Calculations for Ilimit (resistor on ILM Pin)</t>
  </si>
  <si>
    <t xml:space="preserve">RILM_Cal</t>
  </si>
  <si>
    <t xml:space="preserve">Calculated current limit resistor</t>
  </si>
  <si>
    <t xml:space="preserve">Inrush Charging 
Current</t>
  </si>
  <si>
    <t xml:space="preserve">SELECT A ILIMIT RESISTOR WITH THE CLOSEST AVAILABLE VALUE OF Rilm_Cal</t>
  </si>
  <si>
    <t xml:space="preserve">Overload Curr
Limit</t>
  </si>
  <si>
    <t xml:space="preserve">RILM</t>
  </si>
  <si>
    <t xml:space="preserve">Select the closest available value of RLM_cal</t>
  </si>
  <si>
    <t xml:space="preserve">Ilimit_final</t>
  </si>
  <si>
    <t xml:space="preserve">Final current Limit Set Point</t>
  </si>
  <si>
    <t xml:space="preserve">Current Monitor Gain</t>
  </si>
  <si>
    <t xml:space="preserve">Current Monitoring Voltage at ILM pin</t>
  </si>
  <si>
    <t xml:space="preserve">mV/A</t>
  </si>
  <si>
    <t xml:space="preserve">Calculations for SoftStart control (external cap on dVdt pin)</t>
  </si>
  <si>
    <t xml:space="preserve">I_dVdt</t>
  </si>
  <si>
    <t xml:space="preserve">Internal current charging capacitor on dVdt</t>
  </si>
  <si>
    <t xml:space="preserve">Gain_dVdt</t>
  </si>
  <si>
    <t xml:space="preserve">Internal Gain for dVdt Control</t>
  </si>
  <si>
    <t xml:space="preserve">V/V</t>
  </si>
  <si>
    <t xml:space="preserve">Icharge_fastest</t>
  </si>
  <si>
    <r>
      <rPr>
        <sz val="11"/>
        <color rgb="FF000000"/>
        <rFont val="Calibri"/>
        <family val="2"/>
        <charset val="1"/>
      </rPr>
      <t xml:space="preserve">Charging current when charging at fastest possible rate
</t>
    </r>
    <r>
      <rPr>
        <sz val="11"/>
        <color rgb="FFFF3300"/>
        <rFont val="Calibri"/>
        <family val="2"/>
        <charset val="1"/>
      </rPr>
      <t xml:space="preserve">If this current is &lt; Ilimit, no capacitor is required at dVdT pin</t>
    </r>
  </si>
  <si>
    <t xml:space="preserve">Tchg_fastest</t>
  </si>
  <si>
    <t xml:space="preserve">when no external capacitor  is connected (max. slew rate)</t>
  </si>
  <si>
    <t xml:space="preserve">ms</t>
  </si>
  <si>
    <t xml:space="preserve">Tchg_req</t>
  </si>
  <si>
    <t xml:space="preserve">The charging time required</t>
  </si>
  <si>
    <t xml:space="preserve">Icharge_req</t>
  </si>
  <si>
    <t xml:space="preserve">Charging (inrush) current desired in the system</t>
  </si>
  <si>
    <t xml:space="preserve">Cext_dvdt_cal1</t>
  </si>
  <si>
    <t xml:space="preserve">calculated value of capacitor at dVdT pin for required Tcharge</t>
  </si>
  <si>
    <t xml:space="preserve">nF</t>
  </si>
  <si>
    <t xml:space="preserve">Cext_dvdt_cal2</t>
  </si>
  <si>
    <t xml:space="preserve">calculated value of capacitor at dVdT pin for required Icharge</t>
  </si>
  <si>
    <t xml:space="preserve">SELECT A CAPACITOR WITH THE CLOSEST POSSIBLE VALUE to max(Cext_dvdt_cal1, Cext_dvdt_cal2)</t>
  </si>
  <si>
    <t xml:space="preserve">CdVdT_ext</t>
  </si>
  <si>
    <t xml:space="preserve">The external capacitor connecetd across dVdT pin (OPEN, or &gt;=1nF)</t>
  </si>
  <si>
    <t xml:space="preserve">Icharge</t>
  </si>
  <si>
    <t xml:space="preserve">Charging Current as per dVdT setting</t>
  </si>
  <si>
    <t xml:space="preserve">Does Device Enter Current Limit during start-up?</t>
  </si>
  <si>
    <t xml:space="preserve">Tchg_dVdT</t>
  </si>
  <si>
    <t xml:space="preserve">Charging time set</t>
  </si>
  <si>
    <t xml:space="preserve">Pd_Cout_startup</t>
  </si>
  <si>
    <t xml:space="preserve">Power dissipation due to load cap at start-up</t>
  </si>
  <si>
    <t xml:space="preserve">W</t>
  </si>
  <si>
    <t xml:space="preserve">Total Power dissipation at Start-up</t>
  </si>
  <si>
    <t xml:space="preserve">Pd_Rlstart</t>
  </si>
  <si>
    <t xml:space="preserve">Power dissipation due to load resistance at start-up</t>
  </si>
  <si>
    <t xml:space="preserve">Two layer</t>
  </si>
  <si>
    <t xml:space="preserve">Pd_startup</t>
  </si>
  <si>
    <t xml:space="preserve">Total power dissipation at start-up</t>
  </si>
  <si>
    <t xml:space="preserve">Max power dissipation allowed for glitch-free startup for the programmed startup time (20% margin)</t>
  </si>
  <si>
    <r>
      <rPr>
        <b val="true"/>
        <sz val="14"/>
        <color rgb="FFFF0000"/>
        <rFont val="Calibri"/>
        <family val="2"/>
        <charset val="1"/>
      </rPr>
      <t xml:space="preserve">Will the system have glitch-free startup?
</t>
    </r>
    <r>
      <rPr>
        <b val="true"/>
        <sz val="11"/>
        <color rgb="FFFF0000"/>
        <rFont val="Calibri"/>
        <family val="2"/>
        <charset val="1"/>
      </rPr>
      <t xml:space="preserve">Look at Thermal Shutdown Limit Plot Tab</t>
    </r>
  </si>
  <si>
    <t xml:space="preserve">Steady state Voltage drop &amp; Power dissipation</t>
  </si>
  <si>
    <t xml:space="preserve">Single layer</t>
  </si>
  <si>
    <t xml:space="preserve">Vdrop</t>
  </si>
  <si>
    <t xml:space="preserve">Maximum voltage drop across device @ 25 degC</t>
  </si>
  <si>
    <t xml:space="preserve">mV</t>
  </si>
  <si>
    <t xml:space="preserve">Pdiss_Imax</t>
  </si>
  <si>
    <t xml:space="preserve">Steady state power dissipation with Max current @ 25degC </t>
  </si>
  <si>
    <t xml:space="preserve">mW</t>
  </si>
  <si>
    <t xml:space="preserve">Parameters internal to Device</t>
  </si>
  <si>
    <t xml:space="preserve">Internal FET Parameters</t>
  </si>
  <si>
    <t xml:space="preserve">VDSS (max)</t>
  </si>
  <si>
    <t xml:space="preserve">FET drain-source voltage rating (maximum)</t>
  </si>
  <si>
    <t xml:space="preserve">ID(max)</t>
  </si>
  <si>
    <t xml:space="preserve">FET drain-source current rating (maximum)</t>
  </si>
  <si>
    <t xml:space="preserve">Rds(on)</t>
  </si>
  <si>
    <t xml:space="preserve">FET maximum Rds(on) at 25degC</t>
  </si>
  <si>
    <t xml:space="preserve">mOhm</t>
  </si>
  <si>
    <t xml:space="preserve">Rds(on)_max</t>
  </si>
  <si>
    <t xml:space="preserve">FET maximum Rds(on) at 125degC</t>
  </si>
  <si>
    <t xml:space="preserve">Thermal Parameters</t>
  </si>
  <si>
    <t xml:space="preserve">Tj(max)</t>
  </si>
  <si>
    <t xml:space="preserve">Deice maximum junction temperature</t>
  </si>
  <si>
    <r>
      <rPr>
        <sz val="10"/>
        <rFont val="Symbol"/>
        <family val="1"/>
        <charset val="2"/>
      </rPr>
      <t xml:space="preserve"></t>
    </r>
    <r>
      <rPr>
        <sz val="11"/>
        <color rgb="FF000000"/>
        <rFont val="Calibri"/>
        <family val="2"/>
        <charset val="1"/>
      </rPr>
      <t xml:space="preserve">C</t>
    </r>
  </si>
  <si>
    <t xml:space="preserve">TA(max)</t>
  </si>
  <si>
    <t xml:space="preserve">Maximum ambient temperature of the application</t>
  </si>
  <si>
    <r>
      <rPr>
        <sz val="11"/>
        <color rgb="FF000000"/>
        <rFont val="Calibri"/>
        <family val="2"/>
        <charset val="1"/>
      </rPr>
      <t xml:space="preserve">R</t>
    </r>
    <r>
      <rPr>
        <sz val="10"/>
        <rFont val="Symbol"/>
        <family val="1"/>
        <charset val="2"/>
      </rPr>
      <t xml:space="preserve"></t>
    </r>
    <r>
      <rPr>
        <sz val="11"/>
        <color rgb="FF000000"/>
        <rFont val="Calibri"/>
        <family val="2"/>
        <charset val="1"/>
      </rPr>
      <t xml:space="preserve">JA</t>
    </r>
  </si>
  <si>
    <t xml:space="preserve">Junction to ambient thermal resistance</t>
  </si>
  <si>
    <r>
      <rPr>
        <sz val="10"/>
        <rFont val="Symbol"/>
        <family val="1"/>
        <charset val="2"/>
      </rPr>
      <t xml:space="preserve"></t>
    </r>
    <r>
      <rPr>
        <sz val="11"/>
        <color rgb="FF000000"/>
        <rFont val="Calibri"/>
        <family val="2"/>
        <charset val="1"/>
      </rPr>
      <t xml:space="preserve">C/W</t>
    </r>
  </si>
  <si>
    <t xml:space="preserve">Internal References</t>
  </si>
  <si>
    <t xml:space="preserve">UVref</t>
  </si>
  <si>
    <t xml:space="preserve">Internal Undervoltage reference (Falling)</t>
  </si>
  <si>
    <t xml:space="preserve">OVref</t>
  </si>
  <si>
    <t xml:space="preserve">Internal Overvoltage reference (Rising)</t>
  </si>
  <si>
    <t xml:space="preserve">GainIMON</t>
  </si>
  <si>
    <t xml:space="preserve">Current monitor gain</t>
  </si>
  <si>
    <t xml:space="preserve">uA/A</t>
  </si>
  <si>
    <t xml:space="preserve">Pd (W)</t>
  </si>
  <si>
    <t xml:space="preserve">Tstart (ms)</t>
  </si>
  <si>
    <t xml:space="preserve">Thermal Shutdown Time (ms) Vs. Power Dissipation (W)</t>
  </si>
  <si>
    <t xml:space="preserve">Title of Graph</t>
  </si>
  <si>
    <t xml:space="preserve">Thermal Shutdown Time Vs. Power Dissipation</t>
  </si>
  <si>
    <t xml:space="preserve">-40 degC</t>
  </si>
  <si>
    <t xml:space="preserve">25 degC</t>
  </si>
  <si>
    <t xml:space="preserve">85 degC</t>
  </si>
  <si>
    <t xml:space="preserve">125 degC</t>
  </si>
  <si>
    <t xml:space="preserve">PD(W)</t>
  </si>
  <si>
    <t xml:space="preserve">Time(ms)</t>
  </si>
  <si>
    <t xml:space="preserve">Label</t>
  </si>
  <si>
    <t xml:space="preserve">X-Axis </t>
  </si>
  <si>
    <t xml:space="preserve"> Power Dissipation (W)</t>
  </si>
  <si>
    <t xml:space="preserve">Y-Axis</t>
  </si>
  <si>
    <t xml:space="preserve">Thermal Shutdown time (ms)</t>
  </si>
  <si>
    <t xml:space="preserve">Standard EIA Decade Resistor Values</t>
  </si>
  <si>
    <t xml:space="preserve">0.5%, 0.25%, 0.1%</t>
  </si>
  <si>
    <t xml:space="preserve">E6</t>
  </si>
  <si>
    <t xml:space="preserve">E12</t>
  </si>
  <si>
    <t xml:space="preserve">E24</t>
  </si>
  <si>
    <t xml:space="preserve">E48</t>
  </si>
  <si>
    <t xml:space="preserve">E96</t>
  </si>
  <si>
    <t xml:space="preserve">E192</t>
  </si>
  <si>
    <t xml:space="preserve">End Values Required for Processing</t>
  </si>
  <si>
    <t xml:space="preserve">Standard Capacitor Values</t>
  </si>
  <si>
    <t xml:space="preserve">pF</t>
  </si>
  <si>
    <t xml:space="preserve">µF</t>
  </si>
  <si>
    <t xml:space="preserve">mF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</si>
</sst>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.00"/>
    <numFmt numFmtId="166" formatCode="@"/>
    <numFmt numFmtId="167" formatCode="0%"/>
    <numFmt numFmtId="168" formatCode="0.0%"/>
    <numFmt numFmtId="169" formatCode="0.0"/>
    <numFmt numFmtId="170" formatCode="0.000"/>
    <numFmt numFmtId="171" formatCode="General"/>
    <numFmt numFmtId="172" formatCode="0"/>
  </numFmts>
  <fonts count="4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00FF"/>
      <name val="Arial"/>
      <family val="2"/>
      <charset val="1"/>
    </font>
    <font>
      <b val="true"/>
      <sz val="16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9C0006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6"/>
      <name val="Calibri"/>
      <family val="2"/>
      <charset val="1"/>
    </font>
    <font>
      <sz val="11"/>
      <name val="Calibri"/>
      <family val="2"/>
      <charset val="1"/>
    </font>
    <font>
      <b val="true"/>
      <sz val="10"/>
      <name val="Arial"/>
      <family val="2"/>
      <charset val="1"/>
    </font>
    <font>
      <sz val="11"/>
      <color rgb="FF006100"/>
      <name val="Calibri"/>
      <family val="2"/>
      <charset val="1"/>
    </font>
    <font>
      <vertAlign val="subscript"/>
      <sz val="11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FFFFFF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i val="true"/>
      <sz val="16"/>
      <name val="Calibri"/>
      <family val="2"/>
      <charset val="1"/>
    </font>
    <font>
      <b val="true"/>
      <i val="true"/>
      <sz val="16"/>
      <name val="Calibri"/>
      <family val="2"/>
      <charset val="1"/>
    </font>
    <font>
      <i val="true"/>
      <sz val="11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b val="true"/>
      <sz val="14"/>
      <color rgb="FFFFFFFF"/>
      <name val="Calibri"/>
      <family val="2"/>
      <charset val="1"/>
    </font>
    <font>
      <sz val="12"/>
      <color rgb="FFFFFFFF"/>
      <name val="Calibri"/>
      <family val="2"/>
      <charset val="1"/>
    </font>
    <font>
      <sz val="11"/>
      <color rgb="FFFF3300"/>
      <name val="Calibri"/>
      <family val="2"/>
      <charset val="1"/>
    </font>
    <font>
      <b val="true"/>
      <sz val="11"/>
      <color rgb="FFFF33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4"/>
      <color rgb="FFFF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4"/>
      <name val="Calibri"/>
      <family val="2"/>
      <charset val="1"/>
    </font>
    <font>
      <b val="true"/>
      <sz val="20"/>
      <name val="Calibri"/>
      <family val="2"/>
      <charset val="1"/>
    </font>
    <font>
      <sz val="10"/>
      <color rgb="FF000000"/>
      <name val="Calibri"/>
      <family val="2"/>
      <charset val="1"/>
    </font>
    <font>
      <i val="true"/>
      <sz val="16"/>
      <color rgb="FF000000"/>
      <name val="Calibri"/>
      <family val="2"/>
      <charset val="1"/>
    </font>
    <font>
      <sz val="10"/>
      <name val="Symbol"/>
      <family val="1"/>
      <charset val="2"/>
    </font>
    <font>
      <b val="true"/>
      <sz val="16"/>
      <color rgb="FF000000"/>
      <name val="Calibri"/>
      <family val="2"/>
    </font>
    <font>
      <sz val="10"/>
      <color rgb="FF000000"/>
      <name val="Calibri"/>
      <family val="2"/>
    </font>
    <font>
      <sz val="10.5"/>
      <name val="Calibri"/>
      <family val="2"/>
      <charset val="1"/>
    </font>
    <font>
      <sz val="10.5"/>
      <color rgb="FFFF0000"/>
      <name val="Calibri"/>
      <family val="2"/>
      <charset val="1"/>
    </font>
    <font>
      <b val="true"/>
      <sz val="18"/>
      <color rgb="FF000000"/>
      <name val="Calibri"/>
      <family val="2"/>
    </font>
    <font>
      <b val="true"/>
      <sz val="10"/>
      <color rgb="FF000000"/>
      <name val="Calibri"/>
      <family val="2"/>
    </font>
    <font>
      <b val="true"/>
      <sz val="12"/>
      <color rgb="FFFF0000"/>
      <name val="Calibri"/>
      <family val="0"/>
    </font>
    <font>
      <b val="true"/>
      <vertAlign val="superscript"/>
      <sz val="12"/>
      <color rgb="FFFF0000"/>
      <name val="Calibri"/>
      <family val="0"/>
    </font>
    <font>
      <u val="single"/>
      <sz val="20"/>
      <color rgb="FF0000FF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9"/>
      <color rgb="FF000000"/>
      <name val="Verdana"/>
      <family val="2"/>
      <charset val="1"/>
    </font>
  </fonts>
  <fills count="24">
    <fill>
      <patternFill patternType="none"/>
    </fill>
    <fill>
      <patternFill patternType="gray125"/>
    </fill>
    <fill>
      <patternFill patternType="solid">
        <fgColor rgb="FFFFC7CE"/>
        <bgColor rgb="FFE6B9B8"/>
      </patternFill>
    </fill>
    <fill>
      <patternFill patternType="solid">
        <fgColor rgb="FFC6EFCE"/>
        <bgColor rgb="FFD7E4BD"/>
      </patternFill>
    </fill>
    <fill>
      <patternFill patternType="solid">
        <fgColor rgb="FF00FFFF"/>
        <bgColor rgb="FF00CCFF"/>
      </patternFill>
    </fill>
    <fill>
      <patternFill patternType="solid">
        <fgColor rgb="FF4F81BD"/>
        <bgColor rgb="FF4A7EBB"/>
      </patternFill>
    </fill>
    <fill>
      <patternFill patternType="solid">
        <fgColor rgb="FFDDD9C3"/>
        <bgColor rgb="FFD9D9D9"/>
      </patternFill>
    </fill>
    <fill>
      <patternFill patternType="solid">
        <fgColor rgb="FFDCE6F2"/>
        <bgColor rgb="FFDBEEF4"/>
      </patternFill>
    </fill>
    <fill>
      <patternFill patternType="solid">
        <fgColor rgb="FFFFFF99"/>
        <bgColor rgb="FFFFFFCC"/>
      </patternFill>
    </fill>
    <fill>
      <patternFill patternType="solid">
        <fgColor rgb="FF80FF7F"/>
        <bgColor rgb="FFC6EFCE"/>
      </patternFill>
    </fill>
    <fill>
      <patternFill patternType="solid">
        <fgColor rgb="FFFFFFFF"/>
        <bgColor rgb="FFFFFFCC"/>
      </patternFill>
    </fill>
    <fill>
      <patternFill patternType="solid">
        <fgColor rgb="FF93CDDD"/>
        <bgColor rgb="FFB9CDE5"/>
      </patternFill>
    </fill>
    <fill>
      <patternFill patternType="solid">
        <fgColor rgb="FFDBEEF4"/>
        <bgColor rgb="FFDCE6F2"/>
      </patternFill>
    </fill>
    <fill>
      <patternFill patternType="solid">
        <fgColor rgb="FFFDEADA"/>
        <bgColor rgb="FFFFFFCC"/>
      </patternFill>
    </fill>
    <fill>
      <patternFill patternType="solid">
        <fgColor rgb="FF558ED5"/>
        <bgColor rgb="FF4F81BD"/>
      </patternFill>
    </fill>
    <fill>
      <patternFill patternType="solid">
        <fgColor rgb="FFC6D9F1"/>
        <bgColor rgb="FFB9CDE5"/>
      </patternFill>
    </fill>
    <fill>
      <patternFill patternType="solid">
        <fgColor rgb="FFFFFF00"/>
        <bgColor rgb="FFFFFF99"/>
      </patternFill>
    </fill>
    <fill>
      <patternFill patternType="solid">
        <fgColor rgb="FFFAC090"/>
        <bgColor rgb="FFE6B9B8"/>
      </patternFill>
    </fill>
    <fill>
      <patternFill patternType="solid">
        <fgColor rgb="FFE6B9B8"/>
        <bgColor rgb="FFFAC090"/>
      </patternFill>
    </fill>
    <fill>
      <patternFill patternType="solid">
        <fgColor rgb="FFC4BD97"/>
        <bgColor rgb="FFB7B7B7"/>
      </patternFill>
    </fill>
    <fill>
      <patternFill patternType="solid">
        <fgColor rgb="FFD7E4BD"/>
        <bgColor rgb="FFDDD9C3"/>
      </patternFill>
    </fill>
    <fill>
      <patternFill patternType="solid">
        <fgColor rgb="FFCCC1DA"/>
        <bgColor rgb="FFB9CDE5"/>
      </patternFill>
    </fill>
    <fill>
      <patternFill patternType="solid">
        <fgColor rgb="FFB9CDE5"/>
        <bgColor rgb="FFC6D9F1"/>
      </patternFill>
    </fill>
    <fill>
      <patternFill patternType="solid">
        <fgColor rgb="FFFFFFCC"/>
        <bgColor rgb="FFFDEADA"/>
      </patternFill>
    </fill>
  </fills>
  <borders count="29">
    <border diagonalUp="false" diagonalDown="false">
      <left/>
      <right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8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2" borderId="0" applyFont="true" applyBorder="false" applyAlignment="true" applyProtection="false">
      <alignment horizontal="general" vertical="bottom" textRotation="0" wrapText="false" indent="0" shrinkToFit="false"/>
    </xf>
    <xf numFmtId="164" fontId="14" fillId="3" borderId="0" applyFont="true" applyBorder="false" applyAlignment="true" applyProtection="false">
      <alignment horizontal="general" vertical="bottom" textRotation="0" wrapText="false" indent="0" shrinkToFit="false"/>
    </xf>
  </cellStyleXfs>
  <cellXfs count="2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0" fillId="0" borderId="0" xfId="0" applyFont="true" applyBorder="fals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5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6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7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8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4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7" fillId="0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9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7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0" borderId="0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3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3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0" borderId="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0" borderId="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0" fillId="10" borderId="0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0" fillId="1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1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11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1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0" fillId="11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1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1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0" fillId="11" borderId="7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8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6" fontId="11" fillId="8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2" fillId="12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2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4" fillId="10" borderId="0" xfId="22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2" fillId="8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12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12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8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8" fillId="1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8" borderId="3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12" fillId="12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6" fillId="6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1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2" fillId="6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9" fontId="12" fillId="8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0" fillId="8" borderId="12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8" fillId="0" borderId="3" xfId="2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0" fillId="4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0" fontId="12" fillId="9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12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2" fillId="8" borderId="1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12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0" fillId="12" borderId="1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8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12" borderId="1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0" fillId="12" borderId="18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11" borderId="1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21" fillId="11" borderId="20" xfId="0" applyFont="true" applyBorder="true" applyAlignment="true" applyProtection="true">
      <alignment horizontal="right" vertical="center" textRotation="0" wrapText="true" indent="1" shrinkToFit="false"/>
      <protection locked="true" hidden="false"/>
    </xf>
    <xf numFmtId="164" fontId="21" fillId="11" borderId="20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1" fillId="11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2" fillId="6" borderId="2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2" fillId="12" borderId="2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4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2" fillId="12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2" fillId="12" borderId="1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7" fillId="1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11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21" fillId="11" borderId="5" xfId="0" applyFont="true" applyBorder="true" applyAlignment="true" applyProtection="true">
      <alignment horizontal="right" vertical="center" textRotation="0" wrapText="true" indent="1" shrinkToFit="false"/>
      <protection locked="true" hidden="false"/>
    </xf>
    <xf numFmtId="164" fontId="21" fillId="11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1" fillId="11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2" fillId="6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2" fillId="12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12" fillId="4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12" fillId="12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22" fillId="0" borderId="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1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6" fillId="12" borderId="3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8" fontId="16" fillId="12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2" fillId="9" borderId="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12" fillId="8" borderId="12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0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12" fillId="4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12" fillId="6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4" fillId="0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2" fillId="4" borderId="2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12" borderId="2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6" fillId="6" borderId="2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12" fillId="4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1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19" fillId="11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1" fillId="12" borderId="9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1" fillId="12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24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1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2" fillId="6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1" fillId="12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1" fillId="12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2" fillId="13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2" fillId="12" borderId="3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25" fillId="0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26" fillId="0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0" fillId="0" borderId="1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9" fillId="11" borderId="2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2" fillId="4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2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12" borderId="1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0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8" fontId="0" fillId="6" borderId="12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4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2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6" borderId="15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14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7" fillId="14" borderId="9" xfId="0" applyFont="true" applyBorder="true" applyAlignment="true" applyProtection="true">
      <alignment horizontal="right" vertical="center" textRotation="0" wrapText="false" indent="1" shrinkToFit="false"/>
      <protection locked="true" hidden="false"/>
    </xf>
    <xf numFmtId="164" fontId="17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7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6" borderId="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28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6" fillId="0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4" fontId="2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0" fillId="4" borderId="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12" fillId="9" borderId="3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9" fontId="17" fillId="0" borderId="0" xfId="0" applyFont="true" applyBorder="true" applyAlignment="true" applyProtection="true">
      <alignment horizontal="left" vertical="center" textRotation="0" wrapText="false" indent="0" shrinkToFit="false"/>
      <protection locked="true" hidden="true"/>
    </xf>
    <xf numFmtId="165" fontId="12" fillId="4" borderId="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10" fillId="4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6" fillId="4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12" fillId="12" borderId="1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4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16" fillId="4" borderId="2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12" borderId="2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30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2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2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33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11" borderId="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6" fillId="4" borderId="1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34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23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3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2" fillId="15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5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2" fillId="15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6" fillId="6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6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6" fillId="6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6" fillId="12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36" fillId="6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6" fillId="6" borderId="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28" xfId="0" applyFont="true" applyBorder="true" applyAlignment="true" applyProtection="true">
      <alignment horizontal="left" vertical="bottom" textRotation="0" wrapText="false" indent="1" shrinkToFit="false"/>
      <protection locked="false" hidden="false"/>
    </xf>
    <xf numFmtId="164" fontId="0" fillId="0" borderId="2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8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1" shrinkToFit="false"/>
      <protection locked="true" hidden="false"/>
    </xf>
    <xf numFmtId="164" fontId="8" fillId="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1" shrinkToFit="false"/>
      <protection locked="true" hidden="false"/>
    </xf>
    <xf numFmtId="164" fontId="3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8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9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0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5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1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3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18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19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0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2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1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13" borderId="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5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6" fillId="23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7" fillId="0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Bad" xfId="21"/>
    <cellStyle name="Excel Built-in Good" xfId="22"/>
    <cellStyle name="*unknown*" xfId="20" builtinId="8"/>
  </cellStyles>
  <dxfs count="18"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b val="1"/>
        <i val="0"/>
        <color rgb="FFFFFFFF"/>
      </font>
      <fill>
        <patternFill>
          <bgColor rgb="FF00FF00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B9CDE5"/>
      <rgbColor rgb="FF800080"/>
      <rgbColor rgb="FF008080"/>
      <rgbColor rgb="FFB7B7B7"/>
      <rgbColor rgb="FF878787"/>
      <rgbColor rgb="FF558ED5"/>
      <rgbColor rgb="FFBE4B48"/>
      <rgbColor rgb="FFFFFFCC"/>
      <rgbColor rgb="FFDBEEF4"/>
      <rgbColor rgb="FF660066"/>
      <rgbColor rgb="FFFFC7CE"/>
      <rgbColor rgb="FF0066CC"/>
      <rgbColor rgb="FFC6D9F1"/>
      <rgbColor rgb="FF000080"/>
      <rgbColor rgb="FFFF00FF"/>
      <rgbColor rgb="FFD7E4BD"/>
      <rgbColor rgb="FFFDEADA"/>
      <rgbColor rgb="FF800080"/>
      <rgbColor rgb="FFC00000"/>
      <rgbColor rgb="FF008080"/>
      <rgbColor rgb="FF0000FF"/>
      <rgbColor rgb="FF00CCFF"/>
      <rgbColor rgb="FFDCE6F2"/>
      <rgbColor rgb="FFC6EFCE"/>
      <rgbColor rgb="FFFFFF99"/>
      <rgbColor rgb="FF93CDDD"/>
      <rgbColor rgb="FFE6B9B8"/>
      <rgbColor rgb="FFCCC1DA"/>
      <rgbColor rgb="FFFAC090"/>
      <rgbColor rgb="FF4A7EBB"/>
      <rgbColor rgb="FF80FF7F"/>
      <rgbColor rgb="FF98B855"/>
      <rgbColor rgb="FFDDD9C3"/>
      <rgbColor rgb="FFD9D9D9"/>
      <rgbColor rgb="FFFF3300"/>
      <rgbColor rgb="FF7D5FA0"/>
      <rgbColor rgb="FFC4BD97"/>
      <rgbColor rgb="FF003366"/>
      <rgbColor rgb="FF4F81BD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600" spc="-1" strike="noStrike">
                <a:solidFill>
                  <a:srgbClr val="000000"/>
                </a:solidFill>
                <a:latin typeface="Calibri"/>
              </a:rPr>
              <a:t>VIN Thresholds Programmed</a:t>
            </a:r>
          </a:p>
        </c:rich>
      </c:tx>
      <c:layout>
        <c:manualLayout>
          <c:xMode val="edge"/>
          <c:yMode val="edge"/>
          <c:x val="0.115662962005686"/>
          <c:y val="0.0744897959183674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33626260016"/>
          <c:y val="0.0472789115646259"/>
          <c:w val="0.825794779012665"/>
          <c:h val="0.881972789115646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0"/>
          </c:dPt>
          <c:dPt>
            <c:idx val="1"/>
          </c:dPt>
          <c:dPt>
            <c:idx val="2"/>
          </c:dPt>
          <c:dLbls>
            <c:numFmt formatCode="0.00" sourceLinked="1"/>
            <c:dLbl>
              <c:idx val="0"/>
              <c:layout>
                <c:manualLayout>
                  <c:x val="-0.0851416802294093"/>
                  <c:y val="0.0331329379894045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1"/>
              <c:layout>
                <c:manualLayout>
                  <c:x val="0.00136805079892273"/>
                  <c:y val="-0.0246201074675823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dLbl>
              <c:idx val="2"/>
              <c:numFmt formatCode="General" sourceLinked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Sheet'!$K$35:$K$37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Clamp
(VIN Rising)</c:v>
                </c:pt>
              </c:strCache>
            </c:strRef>
          </c:cat>
          <c:val>
            <c:numRef>
              <c:f>'Calculation Sheet'!$J$35:$J$37</c:f>
              <c:numCache>
                <c:formatCode>General</c:formatCode>
                <c:ptCount val="3"/>
                <c:pt idx="0">
                  <c:v>2.71527165932452</c:v>
                </c:pt>
                <c:pt idx="1">
                  <c:v>2.96211453744493</c:v>
                </c:pt>
                <c:pt idx="2">
                  <c:v>13.58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5505031"/>
        <c:axId val="72350701"/>
      </c:lineChart>
      <c:catAx>
        <c:axId val="35505031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2350701"/>
        <c:auto val="1"/>
        <c:lblAlgn val="ctr"/>
        <c:lblOffset val="100"/>
        <c:noMultiLvlLbl val="0"/>
      </c:catAx>
      <c:valAx>
        <c:axId val="7235070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5505031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600" spc="-1" strike="noStrike">
                <a:solidFill>
                  <a:srgbClr val="000000"/>
                </a:solidFill>
                <a:latin typeface="Calibri"/>
              </a:rPr>
              <a:t>Current Limits Programmed</a:t>
            </a:r>
          </a:p>
        </c:rich>
      </c:tx>
      <c:layout>
        <c:manualLayout>
          <c:xMode val="edge"/>
          <c:yMode val="edge"/>
          <c:x val="0.100239435708277"/>
          <c:y val="0.0791090629800307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31210768135637"/>
          <c:y val="0.0633640552995392"/>
          <c:w val="0.87626997993917"/>
          <c:h val="0.859639016897081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dPt>
            <c:idx val="1"/>
          </c:dPt>
          <c:dLbls>
            <c:numFmt formatCode="0.00" sourceLinked="1"/>
            <c:dLbl>
              <c:idx val="1"/>
              <c:layout>
                <c:manualLayout>
                  <c:x val="-0.000795768224959432"/>
                  <c:y val="-0.0280117537849328"/>
                </c:manualLayout>
              </c:layout>
              <c:numFmt formatCode="0.00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t"/>
            <c:showLegendKey val="0"/>
            <c:showVal val="1"/>
            <c:showCatName val="1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Sheet'!$K$58:$K$59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Sheet'!$J$58:$J$59</c:f>
              <c:numCache>
                <c:formatCode>General</c:formatCode>
                <c:ptCount val="2"/>
                <c:pt idx="0">
                  <c:v>0.201409090909091</c:v>
                </c:pt>
                <c:pt idx="1">
                  <c:v>1.6560087431694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5142669"/>
        <c:axId val="77186378"/>
      </c:lineChart>
      <c:catAx>
        <c:axId val="35142669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7186378"/>
        <c:auto val="1"/>
        <c:lblAlgn val="ctr"/>
        <c:lblOffset val="100"/>
        <c:noMultiLvlLbl val="0"/>
      </c:catAx>
      <c:valAx>
        <c:axId val="7718637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514266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en-US" sz="16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en-US" sz="1600" spc="-1" strike="noStrike">
                <a:solidFill>
                  <a:srgbClr val="000000"/>
                </a:solidFill>
                <a:latin typeface="Calibri"/>
              </a:rPr>
              <a:t>VIN Thresholds Programmed</a:t>
            </a:r>
          </a:p>
        </c:rich>
      </c:tx>
      <c:layout>
        <c:manualLayout>
          <c:xMode val="edge"/>
          <c:yMode val="edge"/>
          <c:x val="0.10112504849347"/>
          <c:y val="0.0710900473933649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82154403207035"/>
          <c:y val="0.0616113744075829"/>
          <c:w val="0.867192551403078"/>
          <c:h val="0.862559241706161"/>
        </c:manualLayout>
      </c:layout>
      <c:lineChart>
        <c:grouping val="standard"/>
        <c:varyColors val="0"/>
        <c:ser>
          <c:idx val="0"/>
          <c:order val="0"/>
          <c:spPr>
            <a:solidFill>
              <a:srgbClr val="0000ff"/>
            </a:solidFill>
            <a:ln w="28440">
              <a:solidFill>
                <a:srgbClr val="0000ff"/>
              </a:solidFill>
              <a:round/>
            </a:ln>
          </c:spPr>
          <c:smooth val="0"/>
        </c:ser>
        <c:hiLowLines>
          <c:spPr>
            <a:ln w="0">
              <a:noFill/>
            </a:ln>
          </c:spPr>
        </c:hiLowLines>
        <c:marker val="1"/>
        <c:axId val="19972705"/>
        <c:axId val="67070046"/>
      </c:lineChart>
      <c:catAx>
        <c:axId val="19972705"/>
        <c:scaling>
          <c:orientation val="minMax"/>
        </c:scaling>
        <c:delete val="1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numFmt formatCode="[$-409]mm/dd/yyyy" sourceLinked="1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7070046"/>
        <c:auto val="1"/>
        <c:lblAlgn val="ctr"/>
        <c:lblOffset val="100"/>
        <c:noMultiLvlLbl val="0"/>
      </c:catAx>
      <c:valAx>
        <c:axId val="6707004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997270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Thermal Shutdown Time Vs. Power Dissipation</a:t>
            </a:r>
          </a:p>
        </c:rich>
      </c:tx>
      <c:layout>
        <c:manualLayout>
          <c:xMode val="edge"/>
          <c:yMode val="edge"/>
          <c:x val="0.230059300091873"/>
          <c:y val="0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920738327904"/>
          <c:y val="0.0675301340121285"/>
          <c:w val="0.732063810239706"/>
          <c:h val="0.731751141723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"-40 degC"</c:f>
              <c:strCache>
                <c:ptCount val="1"/>
                <c:pt idx="0">
                  <c:v>-40 degC</c:v>
                </c:pt>
              </c:strCache>
            </c:strRef>
          </c:tx>
          <c:spPr>
            <a:solidFill>
              <a:srgbClr val="4a7ebb"/>
            </a:solidFill>
            <a:ln w="4752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'Thermal Shutdown Limit Plot'!$A$11:$A$37</c:f>
              <c:numCache>
                <c:formatCode>General</c:formatCode>
                <c:ptCount val="27"/>
                <c:pt idx="0">
                  <c:v>4.6677672</c:v>
                </c:pt>
                <c:pt idx="1">
                  <c:v>4.84484</c:v>
                </c:pt>
                <c:pt idx="2">
                  <c:v>5.12967</c:v>
                </c:pt>
                <c:pt idx="3">
                  <c:v>5.2304864</c:v>
                </c:pt>
                <c:pt idx="4">
                  <c:v>5.6380619</c:v>
                </c:pt>
                <c:pt idx="5">
                  <c:v>6.10742</c:v>
                </c:pt>
                <c:pt idx="6">
                  <c:v>6.47088</c:v>
                </c:pt>
                <c:pt idx="7">
                  <c:v>6.661628</c:v>
                </c:pt>
                <c:pt idx="8">
                  <c:v>7.037257</c:v>
                </c:pt>
                <c:pt idx="9">
                  <c:v>7.223552</c:v>
                </c:pt>
                <c:pt idx="10">
                  <c:v>7.610851</c:v>
                </c:pt>
                <c:pt idx="11">
                  <c:v>8.033485</c:v>
                </c:pt>
                <c:pt idx="12">
                  <c:v>8.468757</c:v>
                </c:pt>
                <c:pt idx="13">
                  <c:v>8.846375</c:v>
                </c:pt>
                <c:pt idx="14">
                  <c:v>9.26279</c:v>
                </c:pt>
                <c:pt idx="15">
                  <c:v>9.671494</c:v>
                </c:pt>
                <c:pt idx="16">
                  <c:v>10.109862</c:v>
                </c:pt>
                <c:pt idx="17">
                  <c:v>10.492485</c:v>
                </c:pt>
                <c:pt idx="18">
                  <c:v>10.87264</c:v>
                </c:pt>
                <c:pt idx="19">
                  <c:v>11.276704</c:v>
                </c:pt>
                <c:pt idx="20">
                  <c:v>11.63392</c:v>
                </c:pt>
                <c:pt idx="21">
                  <c:v>11.94505</c:v>
                </c:pt>
                <c:pt idx="22">
                  <c:v>12.931856</c:v>
                </c:pt>
                <c:pt idx="23">
                  <c:v>14.02908</c:v>
                </c:pt>
                <c:pt idx="24">
                  <c:v>14.914695</c:v>
                </c:pt>
                <c:pt idx="25">
                  <c:v>16.083785</c:v>
                </c:pt>
                <c:pt idx="26">
                  <c:v>16.928345</c:v>
                </c:pt>
              </c:numCache>
            </c:numRef>
          </c:xVal>
          <c:yVal>
            <c:numRef>
              <c:f>'Thermal Shutdown Limit Plot'!$B$11:$B$37</c:f>
              <c:numCache>
                <c:formatCode>General</c:formatCode>
                <c:ptCount val="27"/>
                <c:pt idx="0">
                  <c:v>15610</c:v>
                </c:pt>
                <c:pt idx="1">
                  <c:v>11100</c:v>
                </c:pt>
                <c:pt idx="2">
                  <c:v>7707</c:v>
                </c:pt>
                <c:pt idx="3">
                  <c:v>6703</c:v>
                </c:pt>
                <c:pt idx="4">
                  <c:v>4820</c:v>
                </c:pt>
                <c:pt idx="5">
                  <c:v>4406</c:v>
                </c:pt>
                <c:pt idx="6">
                  <c:v>3588</c:v>
                </c:pt>
                <c:pt idx="7">
                  <c:v>3022</c:v>
                </c:pt>
                <c:pt idx="8">
                  <c:v>2052</c:v>
                </c:pt>
                <c:pt idx="9">
                  <c:v>1878</c:v>
                </c:pt>
                <c:pt idx="10">
                  <c:v>1362</c:v>
                </c:pt>
                <c:pt idx="11">
                  <c:v>1073</c:v>
                </c:pt>
                <c:pt idx="12">
                  <c:v>682.7</c:v>
                </c:pt>
                <c:pt idx="13">
                  <c:v>627</c:v>
                </c:pt>
                <c:pt idx="14">
                  <c:v>487.8</c:v>
                </c:pt>
                <c:pt idx="15">
                  <c:v>373.4</c:v>
                </c:pt>
                <c:pt idx="16">
                  <c:v>294.8</c:v>
                </c:pt>
                <c:pt idx="17">
                  <c:v>231.3</c:v>
                </c:pt>
                <c:pt idx="18">
                  <c:v>160.5</c:v>
                </c:pt>
                <c:pt idx="19">
                  <c:v>137.6</c:v>
                </c:pt>
                <c:pt idx="20">
                  <c:v>107.1</c:v>
                </c:pt>
                <c:pt idx="21">
                  <c:v>80.27</c:v>
                </c:pt>
                <c:pt idx="22">
                  <c:v>21.37</c:v>
                </c:pt>
                <c:pt idx="23">
                  <c:v>14.93</c:v>
                </c:pt>
                <c:pt idx="24">
                  <c:v>12.43</c:v>
                </c:pt>
                <c:pt idx="25">
                  <c:v>9.931</c:v>
                </c:pt>
                <c:pt idx="26">
                  <c:v>8.598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"25 degC"</c:f>
              <c:strCache>
                <c:ptCount val="1"/>
                <c:pt idx="0">
                  <c:v>25 degC</c:v>
                </c:pt>
              </c:strCache>
            </c:strRef>
          </c:tx>
          <c:spPr>
            <a:solidFill>
              <a:srgbClr val="be4b48"/>
            </a:solidFill>
            <a:ln w="47520">
              <a:solidFill>
                <a:srgbClr val="be4b4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'Thermal Shutdown Limit Plot'!$C$11:$C$37</c:f>
              <c:numCache>
                <c:formatCode>General</c:formatCode>
                <c:ptCount val="27"/>
                <c:pt idx="0">
                  <c:v>3.3083904</c:v>
                </c:pt>
                <c:pt idx="1">
                  <c:v>3.4777305</c:v>
                </c:pt>
                <c:pt idx="2">
                  <c:v>3.6426455</c:v>
                </c:pt>
                <c:pt idx="3">
                  <c:v>4.008</c:v>
                </c:pt>
                <c:pt idx="4">
                  <c:v>4.2149956</c:v>
                </c:pt>
                <c:pt idx="5">
                  <c:v>4.52956</c:v>
                </c:pt>
                <c:pt idx="6">
                  <c:v>5.293542</c:v>
                </c:pt>
                <c:pt idx="7">
                  <c:v>5.4132</c:v>
                </c:pt>
                <c:pt idx="8">
                  <c:v>5.541356</c:v>
                </c:pt>
                <c:pt idx="9">
                  <c:v>5.720923</c:v>
                </c:pt>
                <c:pt idx="10">
                  <c:v>5.814459</c:v>
                </c:pt>
                <c:pt idx="11">
                  <c:v>5.861752</c:v>
                </c:pt>
                <c:pt idx="12">
                  <c:v>6.06837</c:v>
                </c:pt>
                <c:pt idx="13">
                  <c:v>6.27708</c:v>
                </c:pt>
                <c:pt idx="14">
                  <c:v>6.624324</c:v>
                </c:pt>
                <c:pt idx="15">
                  <c:v>7.03596</c:v>
                </c:pt>
                <c:pt idx="16">
                  <c:v>7.461531</c:v>
                </c:pt>
                <c:pt idx="17">
                  <c:v>7.8617</c:v>
                </c:pt>
                <c:pt idx="18">
                  <c:v>8.306856</c:v>
                </c:pt>
                <c:pt idx="19">
                  <c:v>8.762825</c:v>
                </c:pt>
                <c:pt idx="20">
                  <c:v>9.148043</c:v>
                </c:pt>
                <c:pt idx="21">
                  <c:v>9.502605</c:v>
                </c:pt>
                <c:pt idx="22">
                  <c:v>9.97517</c:v>
                </c:pt>
                <c:pt idx="23">
                  <c:v>10.426212</c:v>
                </c:pt>
                <c:pt idx="24">
                  <c:v>11.5087</c:v>
                </c:pt>
                <c:pt idx="25">
                  <c:v>12.58454</c:v>
                </c:pt>
                <c:pt idx="26">
                  <c:v>14.5837</c:v>
                </c:pt>
              </c:numCache>
            </c:numRef>
          </c:xVal>
          <c:yVal>
            <c:numRef>
              <c:f>'Thermal Shutdown Limit Plot'!$D$11:$D$37</c:f>
              <c:numCache>
                <c:formatCode>General</c:formatCode>
                <c:ptCount val="27"/>
                <c:pt idx="0">
                  <c:v>14720</c:v>
                </c:pt>
                <c:pt idx="1">
                  <c:v>10400</c:v>
                </c:pt>
                <c:pt idx="2">
                  <c:v>8109</c:v>
                </c:pt>
                <c:pt idx="3">
                  <c:v>4688</c:v>
                </c:pt>
                <c:pt idx="4">
                  <c:v>4308</c:v>
                </c:pt>
                <c:pt idx="5">
                  <c:v>3159</c:v>
                </c:pt>
                <c:pt idx="6">
                  <c:v>2386</c:v>
                </c:pt>
                <c:pt idx="7">
                  <c:v>1901</c:v>
                </c:pt>
                <c:pt idx="8">
                  <c:v>1811</c:v>
                </c:pt>
                <c:pt idx="9">
                  <c:v>1531</c:v>
                </c:pt>
                <c:pt idx="10">
                  <c:v>1351</c:v>
                </c:pt>
                <c:pt idx="11">
                  <c:v>1314</c:v>
                </c:pt>
                <c:pt idx="12">
                  <c:v>1015</c:v>
                </c:pt>
                <c:pt idx="13">
                  <c:v>699.9</c:v>
                </c:pt>
                <c:pt idx="14">
                  <c:v>567.4</c:v>
                </c:pt>
                <c:pt idx="15">
                  <c:v>393.7</c:v>
                </c:pt>
                <c:pt idx="16">
                  <c:v>284.1</c:v>
                </c:pt>
                <c:pt idx="17">
                  <c:v>204.3</c:v>
                </c:pt>
                <c:pt idx="18">
                  <c:v>137</c:v>
                </c:pt>
                <c:pt idx="19">
                  <c:v>103.6</c:v>
                </c:pt>
                <c:pt idx="20">
                  <c:v>69.18</c:v>
                </c:pt>
                <c:pt idx="21">
                  <c:v>42.12</c:v>
                </c:pt>
                <c:pt idx="22">
                  <c:v>25.2</c:v>
                </c:pt>
                <c:pt idx="23">
                  <c:v>18.7</c:v>
                </c:pt>
                <c:pt idx="24">
                  <c:v>12.24</c:v>
                </c:pt>
                <c:pt idx="25">
                  <c:v>9.612</c:v>
                </c:pt>
                <c:pt idx="26">
                  <c:v>6.348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"85C"</c:f>
              <c:strCache>
                <c:ptCount val="1"/>
                <c:pt idx="0">
                  <c:v>85C</c:v>
                </c:pt>
              </c:strCache>
            </c:strRef>
          </c:tx>
          <c:spPr>
            <a:solidFill>
              <a:srgbClr val="98b855"/>
            </a:solidFill>
            <a:ln w="47520">
              <a:solidFill>
                <a:srgbClr val="98b85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'Thermal Shutdown Limit Plot'!$E$11:$E$35</c:f>
              <c:numCache>
                <c:formatCode>General</c:formatCode>
                <c:ptCount val="25"/>
                <c:pt idx="0">
                  <c:v>1.931697</c:v>
                </c:pt>
                <c:pt idx="1">
                  <c:v>2.0282184</c:v>
                </c:pt>
                <c:pt idx="2">
                  <c:v>2.1172004</c:v>
                </c:pt>
                <c:pt idx="3">
                  <c:v>2.2043175</c:v>
                </c:pt>
                <c:pt idx="4">
                  <c:v>2.595428</c:v>
                </c:pt>
                <c:pt idx="5">
                  <c:v>2.784465</c:v>
                </c:pt>
                <c:pt idx="6">
                  <c:v>2.810102</c:v>
                </c:pt>
                <c:pt idx="7">
                  <c:v>3.008124</c:v>
                </c:pt>
                <c:pt idx="8">
                  <c:v>3.020535</c:v>
                </c:pt>
                <c:pt idx="9">
                  <c:v>3.154956</c:v>
                </c:pt>
                <c:pt idx="10">
                  <c:v>3.36592</c:v>
                </c:pt>
                <c:pt idx="11">
                  <c:v>3.402422</c:v>
                </c:pt>
                <c:pt idx="12">
                  <c:v>3.813725</c:v>
                </c:pt>
                <c:pt idx="13">
                  <c:v>4.1538</c:v>
                </c:pt>
                <c:pt idx="14">
                  <c:v>4.630455</c:v>
                </c:pt>
                <c:pt idx="15">
                  <c:v>5.005812</c:v>
                </c:pt>
                <c:pt idx="16">
                  <c:v>5.396715</c:v>
                </c:pt>
                <c:pt idx="17">
                  <c:v>5.63667</c:v>
                </c:pt>
                <c:pt idx="18">
                  <c:v>5.98689</c:v>
                </c:pt>
                <c:pt idx="19">
                  <c:v>6.342756</c:v>
                </c:pt>
                <c:pt idx="20">
                  <c:v>6.83055</c:v>
                </c:pt>
                <c:pt idx="21">
                  <c:v>7.238835</c:v>
                </c:pt>
                <c:pt idx="22">
                  <c:v>8.00703</c:v>
                </c:pt>
                <c:pt idx="23">
                  <c:v>8.8394</c:v>
                </c:pt>
                <c:pt idx="24">
                  <c:v>10.00705</c:v>
                </c:pt>
              </c:numCache>
            </c:numRef>
          </c:xVal>
          <c:yVal>
            <c:numRef>
              <c:f>'Thermal Shutdown Limit Plot'!$F$11:$F$35</c:f>
              <c:numCache>
                <c:formatCode>General</c:formatCode>
                <c:ptCount val="25"/>
                <c:pt idx="0">
                  <c:v>13390</c:v>
                </c:pt>
                <c:pt idx="1">
                  <c:v>12320</c:v>
                </c:pt>
                <c:pt idx="2">
                  <c:v>7698</c:v>
                </c:pt>
                <c:pt idx="3">
                  <c:v>5925</c:v>
                </c:pt>
                <c:pt idx="4">
                  <c:v>4705</c:v>
                </c:pt>
                <c:pt idx="5">
                  <c:v>3955</c:v>
                </c:pt>
                <c:pt idx="6">
                  <c:v>3440</c:v>
                </c:pt>
                <c:pt idx="7">
                  <c:v>2701</c:v>
                </c:pt>
                <c:pt idx="8">
                  <c:v>2447</c:v>
                </c:pt>
                <c:pt idx="9">
                  <c:v>1999</c:v>
                </c:pt>
                <c:pt idx="10">
                  <c:v>1573</c:v>
                </c:pt>
                <c:pt idx="11">
                  <c:v>1443</c:v>
                </c:pt>
                <c:pt idx="12">
                  <c:v>954.4</c:v>
                </c:pt>
                <c:pt idx="13">
                  <c:v>717.2</c:v>
                </c:pt>
                <c:pt idx="14">
                  <c:v>416.1</c:v>
                </c:pt>
                <c:pt idx="15">
                  <c:v>287.1</c:v>
                </c:pt>
                <c:pt idx="16">
                  <c:v>182.5</c:v>
                </c:pt>
                <c:pt idx="17">
                  <c:v>113.4</c:v>
                </c:pt>
                <c:pt idx="18">
                  <c:v>70.94</c:v>
                </c:pt>
                <c:pt idx="19">
                  <c:v>45.38</c:v>
                </c:pt>
                <c:pt idx="20">
                  <c:v>30.44</c:v>
                </c:pt>
                <c:pt idx="21">
                  <c:v>18.47</c:v>
                </c:pt>
                <c:pt idx="22">
                  <c:v>12.7</c:v>
                </c:pt>
                <c:pt idx="23">
                  <c:v>7.967</c:v>
                </c:pt>
                <c:pt idx="24">
                  <c:v>5.579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"125 degC"</c:f>
              <c:strCache>
                <c:ptCount val="1"/>
                <c:pt idx="0">
                  <c:v>125 degC</c:v>
                </c:pt>
              </c:strCache>
            </c:strRef>
          </c:tx>
          <c:spPr>
            <a:solidFill>
              <a:srgbClr val="7d5fa0"/>
            </a:solidFill>
            <a:ln w="47520">
              <a:solidFill>
                <a:srgbClr val="7d5fa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'Thermal Shutdown Limit Plot'!$G$11:$G$30</c:f>
              <c:numCache>
                <c:formatCode>General</c:formatCode>
                <c:ptCount val="20"/>
                <c:pt idx="0">
                  <c:v>0.9803589</c:v>
                </c:pt>
                <c:pt idx="1">
                  <c:v>1.0744272</c:v>
                </c:pt>
                <c:pt idx="2">
                  <c:v>1.39248</c:v>
                </c:pt>
                <c:pt idx="3">
                  <c:v>1.4789298</c:v>
                </c:pt>
                <c:pt idx="4">
                  <c:v>1.593616</c:v>
                </c:pt>
                <c:pt idx="5">
                  <c:v>1.613016</c:v>
                </c:pt>
                <c:pt idx="6">
                  <c:v>1.661306</c:v>
                </c:pt>
                <c:pt idx="7">
                  <c:v>1.7863023</c:v>
                </c:pt>
                <c:pt idx="8">
                  <c:v>1.9034899</c:v>
                </c:pt>
                <c:pt idx="9">
                  <c:v>2.05971</c:v>
                </c:pt>
                <c:pt idx="10">
                  <c:v>2.231055</c:v>
                </c:pt>
                <c:pt idx="11">
                  <c:v>2.62676</c:v>
                </c:pt>
                <c:pt idx="12">
                  <c:v>3.000413</c:v>
                </c:pt>
                <c:pt idx="13">
                  <c:v>3.091452</c:v>
                </c:pt>
                <c:pt idx="14">
                  <c:v>3.384315</c:v>
                </c:pt>
                <c:pt idx="15">
                  <c:v>3.57975</c:v>
                </c:pt>
                <c:pt idx="16">
                  <c:v>3.612645</c:v>
                </c:pt>
                <c:pt idx="17">
                  <c:v>3.85839</c:v>
                </c:pt>
                <c:pt idx="18">
                  <c:v>4.193145</c:v>
                </c:pt>
                <c:pt idx="19">
                  <c:v>4.75938</c:v>
                </c:pt>
              </c:numCache>
            </c:numRef>
          </c:xVal>
          <c:yVal>
            <c:numRef>
              <c:f>'Thermal Shutdown Limit Plot'!$H$11:$H$30</c:f>
              <c:numCache>
                <c:formatCode>General</c:formatCode>
                <c:ptCount val="20"/>
                <c:pt idx="0">
                  <c:v>12240</c:v>
                </c:pt>
                <c:pt idx="1">
                  <c:v>9459</c:v>
                </c:pt>
                <c:pt idx="2">
                  <c:v>6395</c:v>
                </c:pt>
                <c:pt idx="3">
                  <c:v>3656</c:v>
                </c:pt>
                <c:pt idx="4">
                  <c:v>2885</c:v>
                </c:pt>
                <c:pt idx="5">
                  <c:v>1736</c:v>
                </c:pt>
                <c:pt idx="6">
                  <c:v>1575</c:v>
                </c:pt>
                <c:pt idx="7">
                  <c:v>1023</c:v>
                </c:pt>
                <c:pt idx="8">
                  <c:v>782.4</c:v>
                </c:pt>
                <c:pt idx="9">
                  <c:v>616</c:v>
                </c:pt>
                <c:pt idx="10">
                  <c:v>352.7</c:v>
                </c:pt>
                <c:pt idx="11">
                  <c:v>241.5</c:v>
                </c:pt>
                <c:pt idx="12">
                  <c:v>117.7</c:v>
                </c:pt>
                <c:pt idx="13">
                  <c:v>85.61</c:v>
                </c:pt>
                <c:pt idx="14">
                  <c:v>63.86</c:v>
                </c:pt>
                <c:pt idx="15">
                  <c:v>49.5</c:v>
                </c:pt>
                <c:pt idx="16">
                  <c:v>36.83</c:v>
                </c:pt>
                <c:pt idx="17">
                  <c:v>29.79</c:v>
                </c:pt>
                <c:pt idx="18">
                  <c:v>24.8</c:v>
                </c:pt>
                <c:pt idx="19">
                  <c:v>16.08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"Calculated Point"</c:f>
              <c:strCache>
                <c:ptCount val="1"/>
                <c:pt idx="0">
                  <c:v>Calculated Point</c:v>
                </c:pt>
              </c:strCache>
            </c:strRef>
          </c:tx>
          <c:spPr>
            <a:solidFill>
              <a:srgbClr val="00ffff"/>
            </a:solidFill>
            <a:ln w="47520">
              <a:solidFill>
                <a:srgbClr val="00ffff"/>
              </a:solidFill>
              <a:round/>
            </a:ln>
          </c:spPr>
          <c:marker>
            <c:symbol val="square"/>
            <c:size val="10"/>
            <c:spPr>
              <a:solidFill>
                <a:srgbClr val="00ffff"/>
              </a:solidFill>
            </c:spPr>
          </c:marker>
          <c:dPt>
            <c:idx val="0"/>
            <c:marker>
              <c:symbol val="square"/>
              <c:size val="10"/>
              <c:spPr>
                <a:solidFill>
                  <a:srgbClr val="00ffff"/>
                </a:solidFill>
              </c:spPr>
            </c:marker>
          </c:dPt>
          <c:dLbls>
            <c:numFmt formatCode="0.00" sourceLinked="1"/>
            <c:dLbl>
              <c:idx val="0"/>
              <c:numFmt formatCode="0.00" sourceLinked="1"/>
              <c:txPr>
                <a:bodyPr wrap="square"/>
                <a:lstStyle/>
                <a:p>
                  <a:pPr>
                    <a:defRPr b="1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dLblPos val="r"/>
              <c:showLegendKey val="0"/>
              <c:showVal val="1"/>
              <c:showCatName val="1"/>
              <c:showSerName val="1"/>
              <c:showPercent val="0"/>
              <c:separator>; </c:separator>
            </c:dLbl>
            <c:txPr>
              <a:bodyPr wrap="square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Plot'!$B$3</c:f>
              <c:numCache>
                <c:formatCode>General</c:formatCode>
                <c:ptCount val="1"/>
                <c:pt idx="0">
                  <c:v>2.40845454545455</c:v>
                </c:pt>
              </c:numCache>
            </c:numRef>
          </c:xVal>
          <c:yVal>
            <c:numRef>
              <c:f>'Thermal Shutdown Limit Plot'!$C$3</c:f>
              <c:numCache>
                <c:formatCode>General</c:formatCode>
                <c:ptCount val="1"/>
                <c:pt idx="0">
                  <c:v>5.95802301963439</c:v>
                </c:pt>
              </c:numCache>
            </c:numRef>
          </c:yVal>
          <c:smooth val="1"/>
        </c:ser>
        <c:axId val="40175417"/>
        <c:axId val="10098759"/>
      </c:scatterChart>
      <c:valAx>
        <c:axId val="40175417"/>
        <c:scaling>
          <c:orientation val="minMax"/>
          <c:max val="2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1" lang="en-US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en-US" sz="1000" spc="-1" strike="noStrike">
                    <a:solidFill>
                      <a:srgbClr val="000000"/>
                    </a:solidFill>
                    <a:latin typeface="Calibri"/>
                  </a:rPr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0.387705671093293"/>
              <c:y val="0.842404731601408"/>
            </c:manualLayout>
          </c:layout>
          <c:overlay val="0"/>
          <c:spPr>
            <a:noFill/>
            <a:ln w="0">
              <a:noFill/>
            </a:ln>
          </c:spPr>
        </c:title>
        <c:numFmt formatCode="@" sourceLinked="0"/>
        <c:majorTickMark val="out"/>
        <c:minorTickMark val="in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0098759"/>
        <c:crossesAt val="-1"/>
        <c:crossBetween val="midCat"/>
        <c:majorUnit val="2"/>
      </c:valAx>
      <c:valAx>
        <c:axId val="10098759"/>
        <c:scaling>
          <c:logBase val="10"/>
          <c:orientation val="minMax"/>
          <c:max val="10000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minorGridlines>
          <c:spPr>
            <a:ln w="9360">
              <a:solidFill>
                <a:srgbClr val="b7b7b7"/>
              </a:solidFill>
              <a:round/>
            </a:ln>
          </c:spPr>
        </c:minorGridlines>
        <c:title>
          <c:tx>
            <c:rich>
              <a:bodyPr rot="-5400000"/>
              <a:lstStyle/>
              <a:p>
                <a:pPr>
                  <a:defRPr b="1" lang="en-US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en-US" sz="1000" spc="-1" strike="noStrike">
                    <a:solidFill>
                      <a:srgbClr val="000000"/>
                    </a:solidFill>
                    <a:latin typeface="Calibri"/>
                  </a:rPr>
                  <a:t>Thermal Shutdown Time (ms)</a:t>
                </a:r>
              </a:p>
            </c:rich>
          </c:tx>
          <c:layout>
            <c:manualLayout>
              <c:xMode val="edge"/>
              <c:yMode val="edge"/>
              <c:x val="0.00868621064060804"/>
              <c:y val="0.197274837164034"/>
            </c:manualLayout>
          </c:layout>
          <c:overlay val="0"/>
          <c:spPr>
            <a:noFill/>
            <a:ln w="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0175417"/>
        <c:crossesAt val="-0.05"/>
        <c:crossBetween val="midCat"/>
      </c:valAx>
      <c:spPr>
        <a:noFill/>
        <a:ln w="0">
          <a:noFill/>
        </a:ln>
      </c:spPr>
    </c:plotArea>
    <c:legend>
      <c:legendPos val="r"/>
      <c:layout>
        <c:manualLayout>
          <c:xMode val="edge"/>
          <c:yMode val="edge"/>
          <c:x val="0.846783748225248"/>
          <c:y val="0.102828490783734"/>
          <c:w val="0.145382455374324"/>
          <c:h val="0.241054339960588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<Relationship Id="rId4" Type="http://schemas.openxmlformats.org/officeDocument/2006/relationships/image" Target="../media/image1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147240</xdr:colOff>
      <xdr:row>27</xdr:row>
      <xdr:rowOff>176040</xdr:rowOff>
    </xdr:from>
    <xdr:to>
      <xdr:col>13</xdr:col>
      <xdr:colOff>10440</xdr:colOff>
      <xdr:row>37</xdr:row>
      <xdr:rowOff>54360</xdr:rowOff>
    </xdr:to>
    <xdr:graphicFrame>
      <xdr:nvGraphicFramePr>
        <xdr:cNvPr id="0" name="Chart 2"/>
        <xdr:cNvGraphicFramePr/>
      </xdr:nvGraphicFramePr>
      <xdr:xfrm>
        <a:off x="10013400" y="6176880"/>
        <a:ext cx="5571000" cy="2116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162360</xdr:colOff>
      <xdr:row>55</xdr:row>
      <xdr:rowOff>237960</xdr:rowOff>
    </xdr:from>
    <xdr:to>
      <xdr:col>13</xdr:col>
      <xdr:colOff>17280</xdr:colOff>
      <xdr:row>63</xdr:row>
      <xdr:rowOff>235800</xdr:rowOff>
    </xdr:to>
    <xdr:graphicFrame>
      <xdr:nvGraphicFramePr>
        <xdr:cNvPr id="1" name="Chart 5"/>
        <xdr:cNvGraphicFramePr/>
      </xdr:nvGraphicFramePr>
      <xdr:xfrm>
        <a:off x="10028520" y="9162720"/>
        <a:ext cx="5562720" cy="1874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175680</xdr:colOff>
      <xdr:row>55</xdr:row>
      <xdr:rowOff>119880</xdr:rowOff>
    </xdr:from>
    <xdr:to>
      <xdr:col>13</xdr:col>
      <xdr:colOff>35280</xdr:colOff>
      <xdr:row>55</xdr:row>
      <xdr:rowOff>195480</xdr:rowOff>
    </xdr:to>
    <xdr:graphicFrame>
      <xdr:nvGraphicFramePr>
        <xdr:cNvPr id="2" name="Chart 8"/>
        <xdr:cNvGraphicFramePr/>
      </xdr:nvGraphicFramePr>
      <xdr:xfrm>
        <a:off x="10041840" y="9044640"/>
        <a:ext cx="5567400" cy="75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125640</xdr:colOff>
      <xdr:row>0</xdr:row>
      <xdr:rowOff>18000</xdr:rowOff>
    </xdr:from>
    <xdr:to>
      <xdr:col>10</xdr:col>
      <xdr:colOff>1648800</xdr:colOff>
      <xdr:row>25</xdr:row>
      <xdr:rowOff>26280</xdr:rowOff>
    </xdr:to>
    <xdr:pic>
      <xdr:nvPicPr>
        <xdr:cNvPr id="3" name="Picture 1" descr=""/>
        <xdr:cNvPicPr/>
      </xdr:nvPicPr>
      <xdr:blipFill>
        <a:blip r:embed="rId4"/>
        <a:stretch/>
      </xdr:blipFill>
      <xdr:spPr>
        <a:xfrm>
          <a:off x="9991800" y="18000"/>
          <a:ext cx="5524920" cy="5551920"/>
        </a:xfrm>
        <a:prstGeom prst="rect">
          <a:avLst/>
        </a:prstGeom>
        <a:ln w="0">
          <a:solidFill>
            <a:srgbClr val="0000ff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649800</xdr:colOff>
      <xdr:row>12</xdr:row>
      <xdr:rowOff>137520</xdr:rowOff>
    </xdr:from>
    <xdr:to>
      <xdr:col>22</xdr:col>
      <xdr:colOff>282240</xdr:colOff>
      <xdr:row>79</xdr:row>
      <xdr:rowOff>59400</xdr:rowOff>
    </xdr:to>
    <xdr:graphicFrame>
      <xdr:nvGraphicFramePr>
        <xdr:cNvPr id="4" name="Chart 4"/>
        <xdr:cNvGraphicFramePr/>
      </xdr:nvGraphicFramePr>
      <xdr:xfrm>
        <a:off x="8528400" y="2376000"/>
        <a:ext cx="8620200" cy="4808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twoCell">
    <xdr:from>
      <xdr:col>10</xdr:col>
      <xdr:colOff>448200</xdr:colOff>
      <xdr:row>79</xdr:row>
      <xdr:rowOff>134640</xdr:rowOff>
    </xdr:from>
    <xdr:to>
      <xdr:col>21</xdr:col>
      <xdr:colOff>6480</xdr:colOff>
      <xdr:row>81</xdr:row>
      <xdr:rowOff>104400</xdr:rowOff>
    </xdr:to>
    <xdr:sp>
      <xdr:nvSpPr>
        <xdr:cNvPr id="5" name="TextBox 6"/>
        <xdr:cNvSpPr/>
      </xdr:nvSpPr>
      <xdr:spPr>
        <a:xfrm>
          <a:off x="9062640" y="7259400"/>
          <a:ext cx="7167960" cy="33156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ff0000"/>
              </a:solidFill>
              <a:latin typeface="Calibri"/>
            </a:rPr>
            <a:t>Taken on 2-Layer board, 2oz.(0.08-mm thick) with GND plane area: 4.93 cm</a:t>
          </a:r>
          <a:r>
            <a:rPr b="1" lang="en-US" sz="1200" spc="-1" strike="noStrike" baseline="30000">
              <a:solidFill>
                <a:srgbClr val="ff0000"/>
              </a:solidFill>
              <a:latin typeface="Calibri"/>
            </a:rPr>
            <a:t>2 </a:t>
          </a:r>
          <a:r>
            <a:rPr b="1" lang="en-US" sz="1200" spc="-1" strike="noStrike">
              <a:solidFill>
                <a:srgbClr val="ff0000"/>
              </a:solidFill>
              <a:latin typeface="Calibri"/>
            </a:rPr>
            <a:t>(Top) and 1 cm</a:t>
          </a:r>
          <a:r>
            <a:rPr b="1" lang="en-US" sz="1200" spc="-1" strike="noStrike" baseline="30000">
              <a:solidFill>
                <a:srgbClr val="ff0000"/>
              </a:solidFill>
              <a:latin typeface="Calibri"/>
            </a:rPr>
            <a:t>2 </a:t>
          </a:r>
          <a:r>
            <a:rPr b="1" lang="en-US" sz="1200" spc="-1" strike="noStrike">
              <a:solidFill>
                <a:srgbClr val="ff0000"/>
              </a:solidFill>
              <a:latin typeface="Calibri"/>
            </a:rPr>
            <a:t>(Bottom)</a:t>
          </a: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://www.ti.com/lit/gpn/tps259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T109"/>
  <sheetViews>
    <sheetView showFormulas="false" showGridLines="fals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D10" activeCellId="0" sqref="D10"/>
    </sheetView>
  </sheetViews>
  <sheetFormatPr defaultColWidth="9.109375" defaultRowHeight="18" zeroHeight="false" outlineLevelRow="0" outlineLevelCol="0"/>
  <cols>
    <col collapsed="false" customWidth="true" hidden="false" outlineLevel="0" max="1" min="1" style="1" width="2.44"/>
    <col collapsed="false" customWidth="true" hidden="false" outlineLevel="0" max="2" min="2" style="1" width="26.33"/>
    <col collapsed="false" customWidth="true" hidden="false" outlineLevel="0" max="3" min="3" style="2" width="64.11"/>
    <col collapsed="false" customWidth="true" hidden="false" outlineLevel="0" max="4" min="4" style="3" width="14.44"/>
    <col collapsed="false" customWidth="true" hidden="false" outlineLevel="0" max="5" min="5" style="1" width="7.88"/>
    <col collapsed="false" customWidth="false" hidden="false" outlineLevel="0" max="6" min="6" style="4" width="9.11"/>
    <col collapsed="false" customWidth="true" hidden="false" outlineLevel="0" max="7" min="7" style="5" width="15.66"/>
    <col collapsed="false" customWidth="false" hidden="false" outlineLevel="0" max="8" min="8" style="1" width="9.11"/>
    <col collapsed="false" customWidth="true" hidden="false" outlineLevel="0" max="9" min="9" style="1" width="11.56"/>
    <col collapsed="false" customWidth="true" hidden="false" outlineLevel="0" max="10" min="10" style="1" width="36.11"/>
    <col collapsed="false" customWidth="true" hidden="false" outlineLevel="0" max="11" min="11" style="1" width="24.21"/>
    <col collapsed="false" customWidth="false" hidden="true" outlineLevel="0" max="12" min="12" style="1" width="9.11"/>
    <col collapsed="false" customWidth="true" hidden="true" outlineLevel="0" max="13" min="13" style="1" width="10.88"/>
    <col collapsed="false" customWidth="true" hidden="false" outlineLevel="0" max="14" min="14" style="1" width="15.78"/>
    <col collapsed="false" customWidth="true" hidden="false" outlineLevel="0" max="15" min="15" style="1" width="36.11"/>
    <col collapsed="false" customWidth="true" hidden="false" outlineLevel="0" max="16" min="16" style="1" width="13.56"/>
    <col collapsed="false" customWidth="true" hidden="false" outlineLevel="0" max="17" min="17" style="1" width="5.11"/>
    <col collapsed="false" customWidth="true" hidden="false" outlineLevel="0" max="18" min="18" style="4" width="13.56"/>
    <col collapsed="false" customWidth="true" hidden="false" outlineLevel="0" max="19" min="19" style="4" width="14.44"/>
    <col collapsed="false" customWidth="false" hidden="false" outlineLevel="0" max="20" min="20" style="6" width="9.11"/>
    <col collapsed="false" customWidth="false" hidden="false" outlineLevel="0" max="16384" min="21" style="1" width="9.11"/>
  </cols>
  <sheetData>
    <row r="1" customFormat="false" ht="18" hidden="false" customHeight="true" outlineLevel="0" collapsed="false">
      <c r="B1" s="7" t="s">
        <v>0</v>
      </c>
      <c r="C1" s="7"/>
      <c r="D1" s="7"/>
      <c r="E1" s="7"/>
      <c r="F1" s="7"/>
      <c r="G1" s="7"/>
      <c r="N1" s="8" t="s">
        <v>1</v>
      </c>
      <c r="O1" s="8"/>
      <c r="P1" s="8"/>
    </row>
    <row r="2" customFormat="false" ht="57" hidden="false" customHeight="false" outlineLevel="0" collapsed="false">
      <c r="B2" s="9"/>
      <c r="C2" s="9"/>
      <c r="D2" s="10"/>
      <c r="E2" s="6"/>
      <c r="F2" s="11"/>
      <c r="N2" s="12" t="s">
        <v>2</v>
      </c>
      <c r="O2" s="12" t="s">
        <v>3</v>
      </c>
      <c r="P2" s="12" t="s">
        <v>4</v>
      </c>
    </row>
    <row r="3" customFormat="false" ht="18" hidden="false" customHeight="true" outlineLevel="0" collapsed="false">
      <c r="B3" s="13"/>
      <c r="C3" s="14" t="s">
        <v>5</v>
      </c>
      <c r="D3" s="10"/>
      <c r="E3" s="6"/>
      <c r="F3" s="11"/>
      <c r="N3" s="15" t="s">
        <v>6</v>
      </c>
      <c r="O3" s="16" t="s">
        <v>7</v>
      </c>
      <c r="P3" s="16" t="s">
        <v>8</v>
      </c>
    </row>
    <row r="4" customFormat="false" ht="18" hidden="false" customHeight="true" outlineLevel="0" collapsed="false">
      <c r="B4" s="17"/>
      <c r="C4" s="18" t="s">
        <v>9</v>
      </c>
      <c r="D4" s="10"/>
      <c r="E4" s="6"/>
      <c r="F4" s="11"/>
      <c r="N4" s="15" t="s">
        <v>10</v>
      </c>
      <c r="O4" s="16" t="s">
        <v>7</v>
      </c>
      <c r="P4" s="16" t="s">
        <v>11</v>
      </c>
    </row>
    <row r="5" customFormat="false" ht="18" hidden="false" customHeight="true" outlineLevel="0" collapsed="false">
      <c r="B5" s="19"/>
      <c r="C5" s="20" t="s">
        <v>12</v>
      </c>
      <c r="D5" s="10"/>
      <c r="E5" s="6"/>
      <c r="F5" s="11"/>
      <c r="N5" s="15" t="s">
        <v>13</v>
      </c>
      <c r="O5" s="16" t="s">
        <v>14</v>
      </c>
      <c r="P5" s="16" t="s">
        <v>8</v>
      </c>
    </row>
    <row r="6" customFormat="false" ht="17.25" hidden="false" customHeight="true" outlineLevel="0" collapsed="false">
      <c r="B6" s="21"/>
      <c r="C6" s="18" t="s">
        <v>15</v>
      </c>
      <c r="D6" s="22"/>
      <c r="E6" s="6"/>
      <c r="F6" s="11"/>
      <c r="G6" s="22"/>
      <c r="M6" s="23"/>
      <c r="N6" s="15" t="s">
        <v>16</v>
      </c>
      <c r="O6" s="16" t="s">
        <v>14</v>
      </c>
      <c r="P6" s="16" t="s">
        <v>11</v>
      </c>
      <c r="T6" s="24"/>
    </row>
    <row r="7" customFormat="false" ht="18" hidden="false" customHeight="true" outlineLevel="0" collapsed="false">
      <c r="B7" s="25"/>
      <c r="C7" s="26" t="s">
        <v>17</v>
      </c>
      <c r="D7" s="10"/>
      <c r="E7" s="6"/>
      <c r="F7" s="11"/>
      <c r="G7" s="22"/>
      <c r="M7" s="27"/>
      <c r="N7" s="24"/>
      <c r="O7" s="11"/>
      <c r="P7" s="11"/>
      <c r="T7" s="11"/>
    </row>
    <row r="8" customFormat="false" ht="18" hidden="false" customHeight="true" outlineLevel="0" collapsed="false">
      <c r="B8" s="28"/>
      <c r="C8" s="29"/>
      <c r="D8" s="30"/>
      <c r="E8" s="31"/>
      <c r="F8" s="32"/>
      <c r="G8" s="33"/>
      <c r="M8" s="27"/>
      <c r="N8" s="24"/>
      <c r="O8" s="11"/>
      <c r="P8" s="11"/>
      <c r="T8" s="11"/>
    </row>
    <row r="9" customFormat="false" ht="29.25" hidden="false" customHeight="false" outlineLevel="0" collapsed="false">
      <c r="B9" s="34" t="s">
        <v>18</v>
      </c>
      <c r="C9" s="35" t="s">
        <v>19</v>
      </c>
      <c r="D9" s="36" t="s">
        <v>20</v>
      </c>
      <c r="E9" s="37" t="s">
        <v>21</v>
      </c>
      <c r="F9" s="38" t="s">
        <v>22</v>
      </c>
      <c r="G9" s="39" t="s">
        <v>23</v>
      </c>
      <c r="M9" s="27"/>
      <c r="N9" s="24"/>
      <c r="O9" s="11"/>
      <c r="P9" s="11"/>
      <c r="T9" s="11"/>
    </row>
    <row r="10" customFormat="false" ht="28.5" hidden="false" customHeight="false" outlineLevel="0" collapsed="false">
      <c r="B10" s="40" t="s">
        <v>24</v>
      </c>
      <c r="C10" s="41" t="s">
        <v>25</v>
      </c>
      <c r="D10" s="42" t="s">
        <v>13</v>
      </c>
      <c r="E10" s="43"/>
      <c r="F10" s="44"/>
      <c r="G10" s="45"/>
      <c r="M10" s="46"/>
      <c r="N10" s="24"/>
      <c r="O10" s="11"/>
      <c r="P10" s="11"/>
      <c r="T10" s="11"/>
    </row>
    <row r="11" customFormat="false" ht="14.25" hidden="false" customHeight="false" outlineLevel="0" collapsed="false">
      <c r="B11" s="47" t="s">
        <v>26</v>
      </c>
      <c r="C11" s="48" t="s">
        <v>27</v>
      </c>
      <c r="D11" s="49" t="n">
        <v>12</v>
      </c>
      <c r="E11" s="50" t="s">
        <v>28</v>
      </c>
      <c r="F11" s="51"/>
      <c r="M11" s="27"/>
      <c r="N11" s="32"/>
      <c r="O11" s="32"/>
      <c r="T11" s="11"/>
    </row>
    <row r="12" customFormat="false" ht="14.25" hidden="true" customHeight="false" outlineLevel="0" collapsed="false">
      <c r="B12" s="47" t="s">
        <v>26</v>
      </c>
      <c r="C12" s="48" t="s">
        <v>27</v>
      </c>
      <c r="D12" s="49" t="n">
        <v>12</v>
      </c>
      <c r="E12" s="50" t="s">
        <v>28</v>
      </c>
      <c r="F12" s="51"/>
      <c r="T12" s="11"/>
    </row>
    <row r="13" customFormat="false" ht="14.25" hidden="true" customHeight="false" outlineLevel="0" collapsed="false">
      <c r="B13" s="47" t="s">
        <v>29</v>
      </c>
      <c r="C13" s="48" t="s">
        <v>30</v>
      </c>
      <c r="D13" s="52" t="n">
        <f aca="false">IF(D10=N3,D11, IF(D10=N4,D11, IF(D10=N5,D12, IF(D10=N6,D12))))</f>
        <v>12</v>
      </c>
      <c r="E13" s="50" t="s">
        <v>28</v>
      </c>
      <c r="F13" s="51"/>
      <c r="I13" s="53"/>
      <c r="J13" s="27"/>
      <c r="K13" s="27"/>
      <c r="L13" s="27"/>
      <c r="M13" s="27"/>
      <c r="N13" s="32"/>
      <c r="O13" s="32"/>
      <c r="T13" s="11"/>
    </row>
    <row r="14" customFormat="false" ht="15" hidden="false" customHeight="false" outlineLevel="0" collapsed="false">
      <c r="B14" s="47" t="s">
        <v>31</v>
      </c>
      <c r="C14" s="48" t="s">
        <v>32</v>
      </c>
      <c r="D14" s="54" t="n">
        <v>13.58</v>
      </c>
      <c r="E14" s="55" t="s">
        <v>28</v>
      </c>
      <c r="F14" s="56" t="n">
        <v>0.035</v>
      </c>
      <c r="I14" s="53"/>
      <c r="J14" s="27"/>
      <c r="K14" s="27"/>
      <c r="L14" s="27"/>
      <c r="M14" s="27"/>
      <c r="N14" s="32"/>
      <c r="O14" s="32"/>
      <c r="T14" s="11"/>
    </row>
    <row r="15" customFormat="false" ht="15" hidden="true" customHeight="false" outlineLevel="0" collapsed="false">
      <c r="B15" s="47" t="s">
        <v>33</v>
      </c>
      <c r="C15" s="48" t="s">
        <v>34</v>
      </c>
      <c r="D15" s="49" t="n">
        <v>13.2</v>
      </c>
      <c r="E15" s="55" t="s">
        <v>28</v>
      </c>
      <c r="F15" s="56" t="n">
        <v>0.03</v>
      </c>
      <c r="I15" s="57" t="s">
        <v>35</v>
      </c>
      <c r="J15" s="58" t="n">
        <v>3.59</v>
      </c>
      <c r="K15" s="58" t="n">
        <v>5.45</v>
      </c>
      <c r="L15" s="58" t="n">
        <v>13.58</v>
      </c>
      <c r="M15" s="27"/>
      <c r="N15" s="32"/>
      <c r="O15" s="32"/>
      <c r="T15" s="11"/>
    </row>
    <row r="16" customFormat="false" ht="15" hidden="false" customHeight="false" outlineLevel="0" collapsed="false">
      <c r="B16" s="47" t="s">
        <v>36</v>
      </c>
      <c r="C16" s="48" t="s">
        <v>37</v>
      </c>
      <c r="D16" s="49" t="n">
        <v>3</v>
      </c>
      <c r="E16" s="50" t="s">
        <v>28</v>
      </c>
      <c r="F16" s="56" t="n">
        <v>0.03</v>
      </c>
      <c r="I16" s="57" t="s">
        <v>38</v>
      </c>
      <c r="J16" s="58" t="s">
        <v>39</v>
      </c>
      <c r="K16" s="58" t="n">
        <v>400</v>
      </c>
      <c r="L16" s="58" t="s">
        <v>40</v>
      </c>
      <c r="M16" s="27"/>
      <c r="T16" s="11"/>
    </row>
    <row r="17" customFormat="false" ht="15" hidden="true" customHeight="false" outlineLevel="0" collapsed="false">
      <c r="B17" s="47" t="s">
        <v>36</v>
      </c>
      <c r="C17" s="48" t="s">
        <v>37</v>
      </c>
      <c r="D17" s="49" t="n">
        <v>8</v>
      </c>
      <c r="E17" s="50" t="s">
        <v>28</v>
      </c>
      <c r="F17" s="56" t="n">
        <v>0.03</v>
      </c>
      <c r="M17" s="53"/>
      <c r="R17" s="32"/>
      <c r="S17" s="32"/>
      <c r="T17" s="11"/>
    </row>
    <row r="18" customFormat="false" ht="33.75" hidden="false" customHeight="true" outlineLevel="0" collapsed="false">
      <c r="B18" s="47" t="s">
        <v>41</v>
      </c>
      <c r="C18" s="59" t="s">
        <v>42</v>
      </c>
      <c r="D18" s="60" t="n">
        <v>2.53</v>
      </c>
      <c r="E18" s="50" t="s">
        <v>28</v>
      </c>
      <c r="F18" s="56" t="n">
        <v>0.03</v>
      </c>
      <c r="G18" s="61"/>
      <c r="M18" s="53"/>
      <c r="N18" s="27"/>
      <c r="O18" s="46"/>
      <c r="P18" s="27"/>
      <c r="Q18" s="27"/>
      <c r="R18" s="32"/>
      <c r="S18" s="32"/>
      <c r="T18" s="11"/>
    </row>
    <row r="19" customFormat="false" ht="18" hidden="false" customHeight="true" outlineLevel="0" collapsed="false">
      <c r="B19" s="47" t="s">
        <v>43</v>
      </c>
      <c r="C19" s="48" t="s">
        <v>44</v>
      </c>
      <c r="D19" s="62" t="n">
        <v>100</v>
      </c>
      <c r="E19" s="50" t="s">
        <v>45</v>
      </c>
      <c r="F19" s="63" t="n">
        <v>0.1</v>
      </c>
      <c r="G19" s="61"/>
      <c r="M19" s="53"/>
      <c r="N19" s="27"/>
      <c r="O19" s="27"/>
      <c r="P19" s="27"/>
      <c r="Q19" s="46"/>
      <c r="R19" s="32"/>
      <c r="S19" s="32"/>
      <c r="T19" s="11"/>
    </row>
    <row r="20" customFormat="false" ht="28.5" hidden="false" customHeight="false" outlineLevel="0" collapsed="false">
      <c r="B20" s="47" t="s">
        <v>46</v>
      </c>
      <c r="C20" s="64" t="s">
        <v>47</v>
      </c>
      <c r="D20" s="62" t="n">
        <v>20</v>
      </c>
      <c r="E20" s="50" t="s">
        <v>48</v>
      </c>
      <c r="F20" s="51"/>
      <c r="G20" s="65" t="n">
        <f aca="false">Vcc_max/Imax</f>
        <v>8</v>
      </c>
      <c r="M20" s="53"/>
      <c r="N20" s="27"/>
      <c r="O20" s="27"/>
      <c r="P20" s="27"/>
      <c r="Q20" s="27"/>
      <c r="R20" s="32"/>
      <c r="S20" s="32"/>
      <c r="T20" s="11"/>
    </row>
    <row r="21" customFormat="false" ht="18" hidden="false" customHeight="true" outlineLevel="0" collapsed="false">
      <c r="B21" s="47" t="s">
        <v>49</v>
      </c>
      <c r="C21" s="48" t="s">
        <v>50</v>
      </c>
      <c r="D21" s="49" t="n">
        <v>1.5</v>
      </c>
      <c r="E21" s="50" t="s">
        <v>51</v>
      </c>
      <c r="F21" s="51"/>
      <c r="G21" s="61"/>
      <c r="M21" s="53"/>
      <c r="N21" s="27"/>
      <c r="O21" s="27"/>
      <c r="P21" s="27"/>
      <c r="Q21" s="27"/>
      <c r="R21" s="32"/>
      <c r="S21" s="32"/>
      <c r="T21" s="11"/>
    </row>
    <row r="22" customFormat="false" ht="18" hidden="false" customHeight="true" outlineLevel="0" collapsed="false">
      <c r="B22" s="47" t="s">
        <v>52</v>
      </c>
      <c r="C22" s="48" t="s">
        <v>53</v>
      </c>
      <c r="D22" s="66" t="n">
        <f aca="false">IF(1.105*Imax&lt;0.125, 0.125, IF(1.105*Imax&gt;2, 2,1.105*Imax ))</f>
        <v>1.6575</v>
      </c>
      <c r="E22" s="67" t="s">
        <v>51</v>
      </c>
      <c r="F22" s="51"/>
      <c r="G22" s="61"/>
      <c r="M22" s="53"/>
      <c r="N22" s="27"/>
      <c r="O22" s="27"/>
      <c r="P22" s="27"/>
      <c r="Q22" s="27"/>
      <c r="R22" s="32"/>
      <c r="S22" s="32"/>
      <c r="T22" s="11"/>
    </row>
    <row r="23" customFormat="false" ht="18" hidden="false" customHeight="true" outlineLevel="0" collapsed="false">
      <c r="B23" s="68" t="s">
        <v>54</v>
      </c>
      <c r="C23" s="69" t="s">
        <v>55</v>
      </c>
      <c r="D23" s="70" t="n">
        <v>55</v>
      </c>
      <c r="E23" s="71" t="s">
        <v>56</v>
      </c>
      <c r="F23" s="72"/>
      <c r="G23" s="61"/>
      <c r="M23" s="53"/>
      <c r="N23" s="27"/>
      <c r="O23" s="27"/>
      <c r="P23" s="27"/>
      <c r="Q23" s="27"/>
      <c r="R23" s="32"/>
      <c r="S23" s="32"/>
      <c r="T23" s="11"/>
    </row>
    <row r="24" customFormat="false" ht="18" hidden="true" customHeight="true" outlineLevel="0" collapsed="false">
      <c r="B24" s="73" t="s">
        <v>57</v>
      </c>
      <c r="C24" s="74" t="s">
        <v>58</v>
      </c>
      <c r="D24" s="75"/>
      <c r="E24" s="76" t="s">
        <v>59</v>
      </c>
      <c r="F24" s="77"/>
      <c r="G24" s="61"/>
      <c r="M24" s="53"/>
      <c r="N24" s="27"/>
      <c r="O24" s="27"/>
      <c r="P24" s="27"/>
      <c r="Q24" s="27"/>
      <c r="R24" s="32"/>
      <c r="S24" s="32"/>
      <c r="T24" s="11"/>
    </row>
    <row r="25" s="1" customFormat="true" ht="18" hidden="false" customHeight="true" outlineLevel="0" collapsed="false">
      <c r="F25" s="4"/>
      <c r="G25" s="61"/>
      <c r="M25" s="53"/>
      <c r="N25" s="27"/>
      <c r="O25" s="27"/>
      <c r="P25" s="27"/>
      <c r="Q25" s="27"/>
      <c r="R25" s="32"/>
      <c r="S25" s="32"/>
      <c r="T25" s="11"/>
    </row>
    <row r="26" s="1" customFormat="true" ht="18" hidden="false" customHeight="true" outlineLevel="0" collapsed="false">
      <c r="F26" s="4"/>
      <c r="G26" s="61"/>
      <c r="M26" s="53"/>
      <c r="N26" s="27"/>
      <c r="O26" s="27"/>
      <c r="P26" s="27"/>
      <c r="Q26" s="27"/>
      <c r="R26" s="32"/>
      <c r="S26" s="32"/>
      <c r="T26" s="11"/>
    </row>
    <row r="27" customFormat="false" ht="18" hidden="false" customHeight="true" outlineLevel="0" collapsed="false">
      <c r="B27" s="78" t="s">
        <v>60</v>
      </c>
      <c r="C27" s="78"/>
      <c r="D27" s="79"/>
      <c r="E27" s="80"/>
      <c r="F27" s="81"/>
      <c r="G27" s="61"/>
      <c r="M27" s="82"/>
      <c r="N27" s="82"/>
      <c r="O27" s="82"/>
      <c r="P27" s="82"/>
      <c r="Q27" s="82"/>
      <c r="R27" s="11"/>
      <c r="S27" s="11"/>
    </row>
    <row r="28" customFormat="false" ht="18" hidden="false" customHeight="true" outlineLevel="0" collapsed="false">
      <c r="B28" s="83" t="s">
        <v>61</v>
      </c>
      <c r="C28" s="84" t="s">
        <v>62</v>
      </c>
      <c r="D28" s="85" t="n">
        <f aca="false">D14</f>
        <v>13.58</v>
      </c>
      <c r="E28" s="86" t="s">
        <v>28</v>
      </c>
      <c r="F28" s="56" t="n">
        <v>0.035</v>
      </c>
      <c r="G28" s="61"/>
      <c r="M28" s="82"/>
      <c r="N28" s="82"/>
      <c r="O28" s="82"/>
      <c r="P28" s="82"/>
      <c r="Q28" s="82"/>
      <c r="R28" s="11"/>
      <c r="S28" s="11"/>
    </row>
    <row r="29" customFormat="false" ht="18" hidden="false" customHeight="true" outlineLevel="0" collapsed="false">
      <c r="B29" s="68" t="s">
        <v>38</v>
      </c>
      <c r="C29" s="69" t="s">
        <v>63</v>
      </c>
      <c r="D29" s="87" t="str">
        <f aca="false">INDEX(J16:L16,MATCH(D28,J15:L15))</f>
        <v>Open</v>
      </c>
      <c r="E29" s="88" t="s">
        <v>64</v>
      </c>
      <c r="F29" s="89"/>
      <c r="G29" s="61"/>
      <c r="M29" s="82"/>
      <c r="N29" s="82"/>
      <c r="O29" s="82"/>
      <c r="P29" s="82"/>
      <c r="Q29" s="82"/>
      <c r="R29" s="11"/>
      <c r="S29" s="11"/>
    </row>
    <row r="30" s="90" customFormat="true" ht="18" hidden="false" customHeight="true" outlineLevel="0" collapsed="false">
      <c r="F30" s="91"/>
      <c r="G30" s="92"/>
      <c r="M30" s="27"/>
      <c r="N30" s="27"/>
      <c r="O30" s="27"/>
      <c r="P30" s="27"/>
      <c r="Q30" s="27"/>
      <c r="R30" s="32"/>
      <c r="S30" s="32"/>
      <c r="T30" s="31"/>
    </row>
    <row r="31" customFormat="false" ht="18" hidden="false" customHeight="true" outlineLevel="0" collapsed="false">
      <c r="G31" s="61"/>
      <c r="M31" s="82"/>
      <c r="N31" s="82"/>
      <c r="O31" s="82"/>
      <c r="P31" s="82"/>
      <c r="Q31" s="82"/>
      <c r="R31" s="11"/>
      <c r="S31" s="11"/>
    </row>
    <row r="32" customFormat="false" ht="18" hidden="false" customHeight="true" outlineLevel="0" collapsed="false">
      <c r="B32" s="93" t="s">
        <v>65</v>
      </c>
      <c r="C32" s="93"/>
      <c r="D32" s="94"/>
      <c r="E32" s="95"/>
      <c r="F32" s="96"/>
      <c r="G32" s="61"/>
    </row>
    <row r="33" customFormat="false" ht="18" hidden="false" customHeight="true" outlineLevel="0" collapsed="false">
      <c r="B33" s="47" t="s">
        <v>36</v>
      </c>
      <c r="C33" s="41" t="s">
        <v>37</v>
      </c>
      <c r="D33" s="97" t="n">
        <f aca="false">D16</f>
        <v>3</v>
      </c>
      <c r="E33" s="98" t="s">
        <v>28</v>
      </c>
      <c r="F33" s="56" t="n">
        <v>0.03</v>
      </c>
      <c r="G33" s="61"/>
    </row>
    <row r="34" customFormat="false" ht="14.25" hidden="false" customHeight="false" outlineLevel="0" collapsed="false">
      <c r="B34" s="47" t="s">
        <v>66</v>
      </c>
      <c r="C34" s="48" t="s">
        <v>67</v>
      </c>
      <c r="D34" s="62" t="n">
        <v>1000</v>
      </c>
      <c r="E34" s="50" t="s">
        <v>64</v>
      </c>
      <c r="F34" s="63" t="n">
        <v>0.01</v>
      </c>
      <c r="G34" s="61"/>
      <c r="L34" s="1" t="n">
        <f aca="false">IF(D34&gt;=100,D34,IF(D34&gt;=10,D34*10,D34*100))</f>
        <v>1000</v>
      </c>
    </row>
    <row r="35" customFormat="false" ht="18" hidden="false" customHeight="true" outlineLevel="0" collapsed="false">
      <c r="B35" s="47" t="s">
        <v>68</v>
      </c>
      <c r="C35" s="48" t="s">
        <v>69</v>
      </c>
      <c r="D35" s="99" t="n">
        <f aca="false">RpUVLO/(D33/OVref -1)</f>
        <v>666.666666666667</v>
      </c>
      <c r="E35" s="55" t="s">
        <v>64</v>
      </c>
      <c r="F35" s="100"/>
      <c r="G35" s="61"/>
      <c r="J35" s="101" t="n">
        <f aca="false">D39</f>
        <v>2.71527165932452</v>
      </c>
      <c r="K35" s="102" t="s">
        <v>70</v>
      </c>
      <c r="L35" s="103" t="n">
        <f aca="false">IF(D35&gt;=10000,D35/100,IF(D35&gt;=1000,D35/10,IF(D35&gt;=100,D35,IF(D35&gt;=10,D35*10,D35*100))))</f>
        <v>666.666666666667</v>
      </c>
      <c r="T35" s="104"/>
    </row>
    <row r="36" customFormat="false" ht="18" hidden="false" customHeight="true" outlineLevel="0" collapsed="false">
      <c r="B36" s="105" t="s">
        <v>71</v>
      </c>
      <c r="C36" s="105"/>
      <c r="D36" s="105"/>
      <c r="E36" s="106"/>
      <c r="F36" s="107"/>
      <c r="G36" s="61"/>
      <c r="J36" s="101" t="n">
        <f aca="false">D38</f>
        <v>2.96211453744493</v>
      </c>
      <c r="K36" s="102" t="s">
        <v>72</v>
      </c>
      <c r="L36" s="108" t="n">
        <f aca="false">INDEX('Res EIA Tables'!E$5:E$197,2+MATCH(L35,'Res EIA Tables'!E$5:E$197))</f>
        <v>681</v>
      </c>
      <c r="T36" s="109"/>
    </row>
    <row r="37" customFormat="false" ht="18" hidden="false" customHeight="true" outlineLevel="0" collapsed="false">
      <c r="B37" s="47" t="s">
        <v>73</v>
      </c>
      <c r="C37" s="48" t="s">
        <v>74</v>
      </c>
      <c r="D37" s="110" t="n">
        <f aca="false">G37</f>
        <v>681</v>
      </c>
      <c r="E37" s="55" t="s">
        <v>64</v>
      </c>
      <c r="F37" s="111" t="n">
        <f aca="false">F34</f>
        <v>0.01</v>
      </c>
      <c r="G37" s="61" t="n">
        <f aca="false">L36*D35/L35</f>
        <v>681</v>
      </c>
      <c r="J37" s="112" t="n">
        <f aca="false">D28</f>
        <v>13.58</v>
      </c>
      <c r="K37" s="102" t="s">
        <v>75</v>
      </c>
    </row>
    <row r="38" s="113" customFormat="true" ht="18" hidden="false" customHeight="true" outlineLevel="0" collapsed="false">
      <c r="B38" s="47" t="s">
        <v>76</v>
      </c>
      <c r="C38" s="48" t="s">
        <v>77</v>
      </c>
      <c r="D38" s="114" t="n">
        <f aca="false">OVref*(1+RpUVLO/D37)</f>
        <v>2.96211453744493</v>
      </c>
      <c r="E38" s="55" t="s">
        <v>28</v>
      </c>
      <c r="F38" s="115" t="n">
        <f aca="false">SQRT(F107^2+F34^2+F37^2)</f>
        <v>0.033166247903554</v>
      </c>
      <c r="G38" s="116"/>
      <c r="M38" s="1"/>
      <c r="N38" s="1"/>
      <c r="O38" s="1"/>
      <c r="P38" s="1"/>
      <c r="Q38" s="1"/>
      <c r="R38" s="4"/>
      <c r="S38" s="4"/>
      <c r="T38" s="6"/>
    </row>
    <row r="39" s="117" customFormat="true" ht="18" hidden="false" customHeight="true" outlineLevel="0" collapsed="false">
      <c r="B39" s="118" t="s">
        <v>78</v>
      </c>
      <c r="C39" s="119" t="s">
        <v>79</v>
      </c>
      <c r="D39" s="120" t="n">
        <f aca="false">UVref*(1+RpUVLO/D37)</f>
        <v>2.71527165932452</v>
      </c>
      <c r="E39" s="121" t="s">
        <v>28</v>
      </c>
      <c r="F39" s="122" t="n">
        <f aca="false">SQRT(F106^2+F34^2+F37^2)</f>
        <v>0.0645677938294317</v>
      </c>
      <c r="G39" s="123"/>
      <c r="M39" s="1"/>
      <c r="N39" s="1"/>
      <c r="O39" s="1"/>
      <c r="P39" s="1"/>
      <c r="Q39" s="1"/>
      <c r="R39" s="4"/>
      <c r="S39" s="4"/>
      <c r="T39" s="6"/>
    </row>
    <row r="40" customFormat="false" ht="18" hidden="false" customHeight="true" outlineLevel="0" collapsed="false">
      <c r="B40" s="68" t="s">
        <v>80</v>
      </c>
      <c r="C40" s="69" t="s">
        <v>81</v>
      </c>
      <c r="D40" s="124" t="n">
        <f aca="false">D13*1000/(RpUVLO+D37)</f>
        <v>7.13860797144557</v>
      </c>
      <c r="E40" s="88" t="s">
        <v>82</v>
      </c>
      <c r="F40" s="89"/>
      <c r="G40" s="125"/>
    </row>
    <row r="41" customFormat="false" ht="18" hidden="true" customHeight="true" outlineLevel="0" collapsed="false">
      <c r="B41" s="3"/>
      <c r="C41" s="3"/>
      <c r="E41" s="3"/>
      <c r="F41" s="126"/>
      <c r="G41" s="127"/>
    </row>
    <row r="42" customFormat="false" ht="32.25" hidden="true" customHeight="true" outlineLevel="0" collapsed="false">
      <c r="B42" s="128" t="s">
        <v>83</v>
      </c>
      <c r="C42" s="128"/>
      <c r="D42" s="128"/>
      <c r="E42" s="128"/>
      <c r="F42" s="128"/>
      <c r="G42" s="127"/>
      <c r="L42" s="5" t="s">
        <v>84</v>
      </c>
      <c r="M42" s="117"/>
      <c r="N42" s="117"/>
      <c r="O42" s="117"/>
      <c r="P42" s="117"/>
      <c r="Q42" s="117"/>
      <c r="R42" s="129"/>
      <c r="S42" s="129"/>
    </row>
    <row r="43" customFormat="false" ht="32.25" hidden="true" customHeight="true" outlineLevel="0" collapsed="false">
      <c r="B43" s="47" t="s">
        <v>36</v>
      </c>
      <c r="C43" s="130" t="s">
        <v>37</v>
      </c>
      <c r="D43" s="97" t="n">
        <f aca="false">D17</f>
        <v>8</v>
      </c>
      <c r="E43" s="131"/>
      <c r="F43" s="132"/>
      <c r="G43" s="127"/>
      <c r="L43" s="133" t="n">
        <f aca="false">(OVref*D45)/(D43-OVref)</f>
        <v>176.470588235294</v>
      </c>
      <c r="M43" s="117"/>
      <c r="N43" s="117"/>
      <c r="O43" s="117"/>
      <c r="P43" s="117"/>
      <c r="Q43" s="117"/>
      <c r="R43" s="129"/>
      <c r="S43" s="129"/>
    </row>
    <row r="44" customFormat="false" ht="32.25" hidden="true" customHeight="true" outlineLevel="0" collapsed="false">
      <c r="B44" s="134" t="s">
        <v>33</v>
      </c>
      <c r="C44" s="18" t="s">
        <v>34</v>
      </c>
      <c r="D44" s="135" t="n">
        <f aca="false">D15</f>
        <v>13.2</v>
      </c>
      <c r="E44" s="136"/>
      <c r="F44" s="137"/>
      <c r="G44" s="127"/>
      <c r="J44" s="101" t="n">
        <f aca="false">D52</f>
        <v>7.32171945701357</v>
      </c>
      <c r="K44" s="102" t="s">
        <v>85</v>
      </c>
      <c r="L44" s="1" t="s">
        <v>73</v>
      </c>
      <c r="N44" s="117"/>
      <c r="O44" s="117"/>
      <c r="P44" s="117"/>
      <c r="Q44" s="117"/>
      <c r="R44" s="129"/>
      <c r="S44" s="129"/>
    </row>
    <row r="45" customFormat="false" ht="21.75" hidden="true" customHeight="true" outlineLevel="0" collapsed="false">
      <c r="B45" s="134" t="s">
        <v>86</v>
      </c>
      <c r="C45" s="18" t="s">
        <v>87</v>
      </c>
      <c r="D45" s="62" t="n">
        <v>1000</v>
      </c>
      <c r="E45" s="50" t="s">
        <v>64</v>
      </c>
      <c r="F45" s="63" t="n">
        <v>0.01</v>
      </c>
      <c r="G45" s="127"/>
      <c r="J45" s="101" t="n">
        <f aca="false">D51</f>
        <v>7.98733031674208</v>
      </c>
      <c r="K45" s="102" t="s">
        <v>72</v>
      </c>
      <c r="L45" s="1" t="n">
        <f aca="false">IF(D46&gt;=10000,D46/100,IF(D46&gt;=1000,D46/10,IF(D46&gt;=100,D46,IF(D46&gt;=10,D46*10,D46*100))))</f>
        <v>695.187165775401</v>
      </c>
    </row>
    <row r="46" customFormat="false" ht="21.75" hidden="true" customHeight="true" outlineLevel="0" collapsed="false">
      <c r="B46" s="134" t="s">
        <v>68</v>
      </c>
      <c r="C46" s="18" t="s">
        <v>88</v>
      </c>
      <c r="D46" s="99" t="n">
        <f aca="false">L43-D47</f>
        <v>69.5187165775401</v>
      </c>
      <c r="E46" s="55" t="s">
        <v>64</v>
      </c>
      <c r="F46" s="51"/>
      <c r="G46" s="127"/>
      <c r="J46" s="101" t="n">
        <f aca="false">D54</f>
        <v>12.0979439252336</v>
      </c>
      <c r="K46" s="102" t="s">
        <v>89</v>
      </c>
      <c r="L46" s="1" t="n">
        <f aca="false">INDEX('Res EIA Tables'!E$5:E$197,2+MATCH(L45,'Res EIA Tables'!E$5:E$197))</f>
        <v>698</v>
      </c>
    </row>
    <row r="47" customFormat="false" ht="18" hidden="true" customHeight="true" outlineLevel="0" collapsed="false">
      <c r="B47" s="134" t="s">
        <v>90</v>
      </c>
      <c r="C47" s="18" t="s">
        <v>88</v>
      </c>
      <c r="D47" s="99" t="n">
        <f aca="false">(D45+L43)*OVref/D44</f>
        <v>106.951871657754</v>
      </c>
      <c r="E47" s="55" t="s">
        <v>64</v>
      </c>
      <c r="F47" s="100"/>
      <c r="G47" s="127"/>
      <c r="J47" s="101" t="n">
        <f aca="false">D53</f>
        <v>13.1977570093458</v>
      </c>
      <c r="K47" s="102" t="s">
        <v>91</v>
      </c>
      <c r="L47" s="103" t="s">
        <v>92</v>
      </c>
      <c r="T47" s="104"/>
    </row>
    <row r="48" customFormat="false" ht="18" hidden="true" customHeight="true" outlineLevel="0" collapsed="false">
      <c r="B48" s="105" t="s">
        <v>71</v>
      </c>
      <c r="C48" s="105"/>
      <c r="D48" s="138"/>
      <c r="E48" s="139"/>
      <c r="F48" s="100"/>
      <c r="G48" s="127"/>
      <c r="L48" s="1" t="n">
        <f aca="false">IF(D47&gt;=10000,D47/100,IF(D47&gt;=1000,D47/10,IF(D47&gt;=100,D47,IF(D47&gt;=10,D47*10,D47*100))))</f>
        <v>106.951871657754</v>
      </c>
    </row>
    <row r="49" customFormat="false" ht="18" hidden="true" customHeight="true" outlineLevel="0" collapsed="false">
      <c r="B49" s="134" t="s">
        <v>73</v>
      </c>
      <c r="C49" s="18" t="s">
        <v>74</v>
      </c>
      <c r="D49" s="110" t="n">
        <f aca="false">G49</f>
        <v>69.8</v>
      </c>
      <c r="E49" s="55" t="s">
        <v>64</v>
      </c>
      <c r="F49" s="63" t="n">
        <v>0.01</v>
      </c>
      <c r="G49" s="127" t="n">
        <f aca="false">L46*D46/L45</f>
        <v>69.8</v>
      </c>
      <c r="J49" s="140"/>
      <c r="K49" s="141"/>
      <c r="L49" s="108" t="n">
        <f aca="false">INDEX('Res EIA Tables'!E$5:E$197,2+MATCH(L48,'Res EIA Tables'!E$5:E$197))</f>
        <v>107</v>
      </c>
    </row>
    <row r="50" customFormat="false" ht="18" hidden="true" customHeight="true" outlineLevel="0" collapsed="false">
      <c r="B50" s="134" t="s">
        <v>92</v>
      </c>
      <c r="C50" s="18" t="s">
        <v>93</v>
      </c>
      <c r="D50" s="110" t="n">
        <f aca="false">G50</f>
        <v>107</v>
      </c>
      <c r="E50" s="55" t="s">
        <v>64</v>
      </c>
      <c r="F50" s="63" t="n">
        <v>0.01</v>
      </c>
      <c r="G50" s="127" t="n">
        <f aca="false">L49*D47/L48</f>
        <v>107</v>
      </c>
      <c r="J50" s="140"/>
      <c r="K50" s="141"/>
      <c r="L50" s="108"/>
    </row>
    <row r="51" customFormat="false" ht="18" hidden="true" customHeight="true" outlineLevel="0" collapsed="false">
      <c r="B51" s="134" t="s">
        <v>76</v>
      </c>
      <c r="C51" s="18" t="s">
        <v>77</v>
      </c>
      <c r="D51" s="114" t="n">
        <f aca="false">OVref*(D45+D49+D50)/(D49+D50)</f>
        <v>7.98733031674208</v>
      </c>
      <c r="E51" s="55" t="s">
        <v>28</v>
      </c>
      <c r="F51" s="115" t="n">
        <f aca="false">SQRT(F107^2+F45^2+F49^2+F50^2)</f>
        <v>0.0346410161513775</v>
      </c>
      <c r="G51" s="127"/>
      <c r="J51" s="140"/>
      <c r="K51" s="141"/>
      <c r="L51" s="108"/>
    </row>
    <row r="52" s="113" customFormat="true" ht="18" hidden="true" customHeight="true" outlineLevel="0" collapsed="false">
      <c r="B52" s="134" t="s">
        <v>78</v>
      </c>
      <c r="C52" s="18" t="s">
        <v>79</v>
      </c>
      <c r="D52" s="114" t="n">
        <f aca="false">UVref*(D45+D49+D50)/(D49+D50)</f>
        <v>7.32171945701357</v>
      </c>
      <c r="E52" s="55" t="s">
        <v>28</v>
      </c>
      <c r="F52" s="115" t="n">
        <f aca="false">SQRT(F106^2+F45^2+F49^2+F50^2)</f>
        <v>0.0653375848956786</v>
      </c>
      <c r="G52" s="142"/>
      <c r="J52" s="140"/>
      <c r="K52" s="141"/>
      <c r="M52" s="1"/>
      <c r="N52" s="1"/>
      <c r="O52" s="1"/>
      <c r="P52" s="1"/>
      <c r="Q52" s="1"/>
      <c r="R52" s="4"/>
      <c r="S52" s="4"/>
      <c r="T52" s="6"/>
    </row>
    <row r="53" customFormat="false" ht="18" hidden="true" customHeight="true" outlineLevel="0" collapsed="false">
      <c r="B53" s="134" t="s">
        <v>94</v>
      </c>
      <c r="C53" s="18" t="s">
        <v>95</v>
      </c>
      <c r="D53" s="114" t="n">
        <f aca="false">OVref*(D45+D49+D50)/(D50)</f>
        <v>13.1977570093458</v>
      </c>
      <c r="E53" s="55" t="s">
        <v>28</v>
      </c>
      <c r="F53" s="115" t="n">
        <f aca="false">SQRT(F107^2+F45^2+F49^2+F50^2)</f>
        <v>0.0346410161513775</v>
      </c>
      <c r="G53" s="143"/>
    </row>
    <row r="54" customFormat="false" ht="18" hidden="true" customHeight="true" outlineLevel="0" collapsed="false">
      <c r="B54" s="134" t="s">
        <v>96</v>
      </c>
      <c r="C54" s="18" t="s">
        <v>97</v>
      </c>
      <c r="D54" s="114" t="n">
        <f aca="false">UVref*(D45+D49+D50)/(D50)</f>
        <v>12.0979439252336</v>
      </c>
      <c r="E54" s="55" t="s">
        <v>28</v>
      </c>
      <c r="F54" s="115" t="n">
        <f aca="false">SQRT(F106^2+F45^2+F49^2+F50^2)</f>
        <v>0.0653375848956786</v>
      </c>
      <c r="G54" s="143"/>
    </row>
    <row r="55" customFormat="false" ht="21" hidden="true" customHeight="true" outlineLevel="0" collapsed="false">
      <c r="B55" s="144" t="s">
        <v>98</v>
      </c>
      <c r="C55" s="145" t="s">
        <v>99</v>
      </c>
      <c r="D55" s="124" t="n">
        <f aca="false">D13*1000/(D45+D49+D50)</f>
        <v>10.1971447994562</v>
      </c>
      <c r="E55" s="88" t="s">
        <v>82</v>
      </c>
      <c r="F55" s="89"/>
      <c r="G55" s="127"/>
      <c r="M55" s="113"/>
      <c r="N55" s="113"/>
      <c r="O55" s="113"/>
      <c r="P55" s="113"/>
      <c r="Q55" s="113"/>
      <c r="R55" s="146"/>
      <c r="S55" s="146"/>
    </row>
    <row r="56" customFormat="false" ht="24.75" hidden="false" customHeight="true" outlineLevel="0" collapsed="false">
      <c r="G56" s="127"/>
    </row>
    <row r="57" customFormat="false" ht="18" hidden="false" customHeight="true" outlineLevel="0" collapsed="false">
      <c r="B57" s="147" t="s">
        <v>100</v>
      </c>
      <c r="C57" s="147"/>
      <c r="D57" s="147"/>
      <c r="E57" s="147"/>
      <c r="F57" s="147"/>
      <c r="G57" s="127"/>
    </row>
    <row r="58" customFormat="false" ht="18" hidden="false" customHeight="true" outlineLevel="0" collapsed="false">
      <c r="B58" s="40" t="s">
        <v>101</v>
      </c>
      <c r="C58" s="41" t="s">
        <v>102</v>
      </c>
      <c r="D58" s="148" t="n">
        <f aca="false">903/(Ilimit-0.0112)</f>
        <v>548.502703031039</v>
      </c>
      <c r="E58" s="149" t="s">
        <v>48</v>
      </c>
      <c r="F58" s="150"/>
      <c r="G58" s="127"/>
      <c r="J58" s="140" t="n">
        <f aca="false">Icharge</f>
        <v>0.201409090909091</v>
      </c>
      <c r="K58" s="141" t="s">
        <v>103</v>
      </c>
    </row>
    <row r="59" customFormat="false" ht="18" hidden="false" customHeight="true" outlineLevel="0" collapsed="false">
      <c r="B59" s="105" t="s">
        <v>104</v>
      </c>
      <c r="C59" s="105"/>
      <c r="D59" s="105"/>
      <c r="E59" s="50"/>
      <c r="F59" s="51"/>
      <c r="G59" s="127"/>
      <c r="J59" s="140" t="n">
        <f aca="false">Ilimit_final</f>
        <v>1.6560087431694</v>
      </c>
      <c r="K59" s="141" t="s">
        <v>105</v>
      </c>
      <c r="L59" s="103" t="n">
        <f aca="false">IF(D58&gt;=10000,D58/100,IF(D58&gt;=1000,D58/10,IF(D58&gt;=100,D58,IF(D58&gt;=10,D58*10,D58*100))))</f>
        <v>548.502703031039</v>
      </c>
    </row>
    <row r="60" customFormat="false" ht="18" hidden="false" customHeight="true" outlineLevel="0" collapsed="false">
      <c r="B60" s="47" t="s">
        <v>106</v>
      </c>
      <c r="C60" s="48" t="s">
        <v>107</v>
      </c>
      <c r="D60" s="110" t="n">
        <f aca="false">G60</f>
        <v>549</v>
      </c>
      <c r="E60" s="50" t="s">
        <v>48</v>
      </c>
      <c r="F60" s="63" t="n">
        <v>0.01</v>
      </c>
      <c r="G60" s="151" t="n">
        <f aca="false">L60*D58/L59</f>
        <v>549</v>
      </c>
      <c r="L60" s="1" t="n">
        <f aca="false">INDEX('Res EIA Tables'!E$5:E$197,2+MATCH(L59,'Res EIA Tables'!E$5:E$197))</f>
        <v>549</v>
      </c>
    </row>
    <row r="61" customFormat="false" ht="18" hidden="false" customHeight="true" outlineLevel="0" collapsed="false">
      <c r="B61" s="47" t="s">
        <v>108</v>
      </c>
      <c r="C61" s="48" t="s">
        <v>109</v>
      </c>
      <c r="D61" s="114" t="n">
        <f aca="false">((903/RILM)+0.0112)</f>
        <v>1.6560087431694</v>
      </c>
      <c r="E61" s="50" t="s">
        <v>51</v>
      </c>
      <c r="F61" s="152" t="n">
        <f aca="false">SQRT(0.105^2+F60^2)</f>
        <v>0.105475115548645</v>
      </c>
      <c r="G61" s="142"/>
    </row>
    <row r="62" customFormat="false" ht="18" hidden="false" customHeight="true" outlineLevel="0" collapsed="false">
      <c r="B62" s="68" t="s">
        <v>110</v>
      </c>
      <c r="C62" s="69" t="s">
        <v>111</v>
      </c>
      <c r="D62" s="153" t="n">
        <f aca="false">GainIMON*RILM/10^3</f>
        <v>359.9244</v>
      </c>
      <c r="E62" s="154" t="s">
        <v>112</v>
      </c>
      <c r="F62" s="155" t="n">
        <f aca="false">SQRT(F108^2+F60^2)</f>
        <v>0.0383275357934736</v>
      </c>
      <c r="G62" s="127"/>
    </row>
    <row r="63" customFormat="false" ht="15" hidden="false" customHeight="false" outlineLevel="0" collapsed="false">
      <c r="G63" s="127"/>
    </row>
    <row r="64" customFormat="false" ht="21" hidden="false" customHeight="true" outlineLevel="0" collapsed="false">
      <c r="B64" s="147" t="s">
        <v>113</v>
      </c>
      <c r="C64" s="147"/>
      <c r="D64" s="147"/>
      <c r="E64" s="147"/>
      <c r="F64" s="147"/>
      <c r="G64" s="127"/>
      <c r="T64" s="104"/>
    </row>
    <row r="65" customFormat="false" ht="18" hidden="false" customHeight="true" outlineLevel="0" collapsed="false">
      <c r="B65" s="156" t="s">
        <v>18</v>
      </c>
      <c r="C65" s="157" t="s">
        <v>19</v>
      </c>
      <c r="D65" s="158" t="s">
        <v>20</v>
      </c>
      <c r="E65" s="159" t="s">
        <v>21</v>
      </c>
      <c r="F65" s="160" t="s">
        <v>22</v>
      </c>
      <c r="G65" s="127"/>
      <c r="T65" s="104"/>
    </row>
    <row r="66" customFormat="false" ht="18" hidden="false" customHeight="true" outlineLevel="0" collapsed="false">
      <c r="B66" s="134" t="s">
        <v>114</v>
      </c>
      <c r="C66" s="18" t="s">
        <v>115</v>
      </c>
      <c r="D66" s="161" t="n">
        <v>2.11</v>
      </c>
      <c r="E66" s="55" t="s">
        <v>82</v>
      </c>
      <c r="F66" s="115" t="n">
        <v>0.104</v>
      </c>
      <c r="G66" s="127"/>
      <c r="T66" s="104"/>
    </row>
    <row r="67" s="113" customFormat="true" ht="18" hidden="false" customHeight="true" outlineLevel="0" collapsed="false">
      <c r="B67" s="134" t="s">
        <v>116</v>
      </c>
      <c r="C67" s="18" t="s">
        <v>117</v>
      </c>
      <c r="D67" s="161" t="n">
        <v>21</v>
      </c>
      <c r="E67" s="55" t="s">
        <v>118</v>
      </c>
      <c r="F67" s="115" t="n">
        <v>0.03</v>
      </c>
      <c r="G67" s="127"/>
      <c r="M67" s="1"/>
      <c r="N67" s="1"/>
      <c r="O67" s="1"/>
      <c r="P67" s="1"/>
      <c r="Q67" s="1"/>
      <c r="R67" s="4"/>
      <c r="S67" s="4"/>
      <c r="T67" s="6"/>
    </row>
    <row r="68" s="113" customFormat="true" ht="32.25" hidden="false" customHeight="true" outlineLevel="0" collapsed="false">
      <c r="B68" s="134" t="s">
        <v>119</v>
      </c>
      <c r="C68" s="18" t="s">
        <v>120</v>
      </c>
      <c r="D68" s="161" t="n">
        <f aca="false">MIN(Cout*(Vcc_max/D69)/1000, Ilimit_final)</f>
        <v>1.6560087431694</v>
      </c>
      <c r="E68" s="55" t="s">
        <v>51</v>
      </c>
      <c r="F68" s="100"/>
      <c r="G68" s="127"/>
      <c r="H68" s="162"/>
      <c r="M68" s="1"/>
      <c r="N68" s="1"/>
      <c r="O68" s="1"/>
      <c r="P68" s="1"/>
      <c r="Q68" s="1"/>
      <c r="R68" s="4"/>
      <c r="S68" s="4"/>
      <c r="T68" s="6"/>
    </row>
    <row r="69" s="113" customFormat="true" ht="18" hidden="false" customHeight="true" outlineLevel="0" collapsed="false">
      <c r="B69" s="134" t="s">
        <v>121</v>
      </c>
      <c r="C69" s="18" t="s">
        <v>122</v>
      </c>
      <c r="D69" s="161" t="n">
        <v>0.21</v>
      </c>
      <c r="E69" s="55" t="s">
        <v>123</v>
      </c>
      <c r="F69" s="115" t="n">
        <v>0.15</v>
      </c>
      <c r="G69" s="163"/>
      <c r="L69" s="164"/>
      <c r="M69" s="1"/>
      <c r="N69" s="1"/>
      <c r="O69" s="1"/>
      <c r="P69" s="1"/>
      <c r="Q69" s="1"/>
      <c r="R69" s="4"/>
      <c r="S69" s="4"/>
      <c r="T69" s="6"/>
    </row>
    <row r="70" customFormat="false" ht="18" hidden="false" customHeight="true" outlineLevel="0" collapsed="false">
      <c r="B70" s="134" t="s">
        <v>124</v>
      </c>
      <c r="C70" s="18" t="s">
        <v>125</v>
      </c>
      <c r="D70" s="54" t="n">
        <v>5</v>
      </c>
      <c r="E70" s="55" t="s">
        <v>123</v>
      </c>
      <c r="F70" s="100"/>
      <c r="G70" s="127"/>
      <c r="M70" s="164"/>
      <c r="N70" s="113"/>
      <c r="O70" s="113"/>
      <c r="P70" s="113"/>
      <c r="Q70" s="113"/>
      <c r="R70" s="146"/>
      <c r="S70" s="146"/>
    </row>
    <row r="71" customFormat="false" ht="18" hidden="false" customHeight="true" outlineLevel="0" collapsed="false">
      <c r="B71" s="134" t="s">
        <v>126</v>
      </c>
      <c r="C71" s="18" t="s">
        <v>127</v>
      </c>
      <c r="D71" s="54" t="n">
        <v>1.5</v>
      </c>
      <c r="E71" s="55" t="s">
        <v>51</v>
      </c>
      <c r="F71" s="100"/>
      <c r="G71" s="127"/>
      <c r="M71" s="164"/>
      <c r="N71" s="113"/>
      <c r="O71" s="113"/>
      <c r="P71" s="113"/>
      <c r="Q71" s="113"/>
      <c r="R71" s="146"/>
      <c r="S71" s="146"/>
    </row>
    <row r="72" customFormat="false" ht="18" hidden="false" customHeight="true" outlineLevel="0" collapsed="false">
      <c r="B72" s="134" t="s">
        <v>128</v>
      </c>
      <c r="C72" s="18" t="s">
        <v>129</v>
      </c>
      <c r="D72" s="165" t="n">
        <f aca="false">IF(Tchg_req&lt;D69,    0,  (I_dVdt*Gain_dVdt*Tchg_req/Vcc_max))</f>
        <v>18.4625</v>
      </c>
      <c r="E72" s="55" t="s">
        <v>130</v>
      </c>
      <c r="F72" s="100"/>
      <c r="G72" s="127"/>
      <c r="M72" s="164"/>
      <c r="N72" s="113"/>
      <c r="O72" s="113"/>
      <c r="P72" s="113"/>
      <c r="Q72" s="113"/>
      <c r="R72" s="146"/>
      <c r="S72" s="146"/>
    </row>
    <row r="73" customFormat="false" ht="18" hidden="false" customHeight="true" outlineLevel="0" collapsed="false">
      <c r="B73" s="134" t="s">
        <v>131</v>
      </c>
      <c r="C73" s="18" t="s">
        <v>132</v>
      </c>
      <c r="D73" s="165" t="n">
        <f aca="false">(I_dVdt*Gain_dVdt*Cout*0.001/Icharge_req)</f>
        <v>2.954</v>
      </c>
      <c r="E73" s="55" t="s">
        <v>130</v>
      </c>
      <c r="F73" s="100"/>
      <c r="G73" s="151" t="n">
        <f aca="false">MAX(Cdvdt_ext_cal1,Cext_dvdt_cal2)</f>
        <v>18.4625</v>
      </c>
    </row>
    <row r="74" customFormat="false" ht="18" hidden="false" customHeight="true" outlineLevel="0" collapsed="false">
      <c r="B74" s="105" t="s">
        <v>133</v>
      </c>
      <c r="C74" s="105"/>
      <c r="D74" s="105"/>
      <c r="E74" s="55"/>
      <c r="F74" s="100"/>
      <c r="G74" s="127"/>
    </row>
    <row r="75" customFormat="false" ht="16.5" hidden="false" customHeight="true" outlineLevel="0" collapsed="false">
      <c r="B75" s="134" t="s">
        <v>134</v>
      </c>
      <c r="C75" s="18" t="s">
        <v>135</v>
      </c>
      <c r="D75" s="166" t="n">
        <f aca="false">G75</f>
        <v>22</v>
      </c>
      <c r="E75" s="55" t="s">
        <v>130</v>
      </c>
      <c r="F75" s="111" t="n">
        <v>0.1</v>
      </c>
      <c r="G75" s="167" t="n">
        <f aca="false">IF(G73&lt;1, "OPEN", IF(G73&gt;1,    INDEX('Cap Tables'!B4:B75,1+MATCH(G73,'Cap Tables'!B4:B75)),     INDEX('Cap Tables'!A4:A75,1+MATCH(G73*10,'Cap Tables'!A4:A75))/10))</f>
        <v>22</v>
      </c>
    </row>
    <row r="76" customFormat="false" ht="18" hidden="false" customHeight="false" outlineLevel="0" collapsed="false">
      <c r="B76" s="134" t="s">
        <v>136</v>
      </c>
      <c r="C76" s="18" t="s">
        <v>137</v>
      </c>
      <c r="D76" s="168" t="n">
        <f aca="false">IF(Cdvdt_ext="OPEN",D68,Cout*0.000001*Gain_dVdt*I_dVdt*0.000001/(Cdvdt_ext*0.000000001))</f>
        <v>0.201409090909091</v>
      </c>
      <c r="E76" s="50" t="s">
        <v>51</v>
      </c>
      <c r="F76" s="152" t="n">
        <f aca="false">SQRT(F78^2+F19^2)</f>
        <v>0.17808986495587</v>
      </c>
      <c r="G76" s="142"/>
    </row>
    <row r="77" customFormat="false" ht="18" hidden="false" customHeight="true" outlineLevel="0" collapsed="false">
      <c r="B77" s="134" t="s">
        <v>138</v>
      </c>
      <c r="C77" s="18"/>
      <c r="D77" s="169" t="n">
        <f aca="false">((Icharge+Vcc_max/Rlstart) &gt;= Ilimit_final)</f>
        <v>0</v>
      </c>
      <c r="E77" s="50"/>
      <c r="F77" s="51"/>
      <c r="G77" s="151" t="n">
        <f aca="false">Cout*0.001*Rlstart*(Ilimit_final/Icharge -1+LN(Icharge/(Ilimit_final-Vcc_max/Rlstart)))</f>
        <v>11.130403102384</v>
      </c>
    </row>
    <row r="78" customFormat="false" ht="20.25" hidden="false" customHeight="true" outlineLevel="0" collapsed="false">
      <c r="B78" s="134" t="s">
        <v>139</v>
      </c>
      <c r="C78" s="18" t="s">
        <v>140</v>
      </c>
      <c r="D78" s="114" t="n">
        <f aca="false">IF(D77, G77, IF(Cdvdt_ext="OPEN",D69,((Cdvdt_ext*Vcc_max)/(I_dVdt*Gain_dVdt))))</f>
        <v>5.95802301963439</v>
      </c>
      <c r="E78" s="50" t="s">
        <v>123</v>
      </c>
      <c r="F78" s="152" t="n">
        <f aca="false">SQRT(F75^2+F66^2+F67^2)</f>
        <v>0.147363496158309</v>
      </c>
      <c r="G78" s="142"/>
    </row>
    <row r="79" customFormat="false" ht="18" hidden="false" customHeight="true" outlineLevel="0" collapsed="false">
      <c r="B79" s="144" t="s">
        <v>141</v>
      </c>
      <c r="C79" s="145" t="s">
        <v>142</v>
      </c>
      <c r="D79" s="124" t="n">
        <f aca="false">0.5*Vcc_max*Icharge</f>
        <v>1.20845454545455</v>
      </c>
      <c r="E79" s="154" t="s">
        <v>143</v>
      </c>
      <c r="F79" s="72"/>
      <c r="G79" s="61"/>
    </row>
    <row r="80" customFormat="false" ht="18" hidden="false" customHeight="true" outlineLevel="0" collapsed="false">
      <c r="G80" s="61"/>
    </row>
    <row r="81" customFormat="false" ht="18" hidden="false" customHeight="true" outlineLevel="0" collapsed="false">
      <c r="B81" s="147" t="s">
        <v>144</v>
      </c>
      <c r="C81" s="147"/>
      <c r="D81" s="147"/>
      <c r="E81" s="147"/>
      <c r="F81" s="147"/>
    </row>
    <row r="82" customFormat="false" ht="15.75" hidden="false" customHeight="true" outlineLevel="0" collapsed="false">
      <c r="B82" s="170" t="s">
        <v>145</v>
      </c>
      <c r="C82" s="130" t="s">
        <v>146</v>
      </c>
      <c r="D82" s="171" t="n">
        <f aca="false">(1/6)*(Vcc_max^2)/Rlstart</f>
        <v>1.2</v>
      </c>
      <c r="E82" s="43" t="s">
        <v>143</v>
      </c>
      <c r="F82" s="172"/>
      <c r="L82" s="11" t="s">
        <v>147</v>
      </c>
      <c r="M82" s="11"/>
    </row>
    <row r="83" customFormat="false" ht="18" hidden="false" customHeight="true" outlineLevel="0" collapsed="false">
      <c r="B83" s="134" t="s">
        <v>148</v>
      </c>
      <c r="C83" s="18" t="s">
        <v>149</v>
      </c>
      <c r="D83" s="173" t="n">
        <f aca="false">D79+D82</f>
        <v>2.40845454545455</v>
      </c>
      <c r="E83" s="55" t="s">
        <v>143</v>
      </c>
      <c r="F83" s="100"/>
    </row>
    <row r="84" customFormat="false" ht="27" hidden="false" customHeight="true" outlineLevel="0" collapsed="false">
      <c r="B84" s="174"/>
      <c r="C84" s="175" t="s">
        <v>150</v>
      </c>
      <c r="D84" s="176" t="n">
        <f aca="false">IF(D23&gt;85,M84,IF(D23&gt;25,M85,M86))</f>
        <v>7.07152</v>
      </c>
      <c r="E84" s="177" t="s">
        <v>143</v>
      </c>
      <c r="F84" s="122" t="n">
        <v>0.15</v>
      </c>
      <c r="L84" s="1" t="n">
        <v>125</v>
      </c>
      <c r="M84" s="1" t="n">
        <f aca="false">INDEX('Thermal Shutdown Limit Plot'!G11:H30,MATCH(Tchg_dvdt*(1+F78),'Thermal Shutdown Limit Plot'!H11:H30,-1),1)*0.8</f>
        <v>3.807504</v>
      </c>
    </row>
    <row r="85" customFormat="false" ht="33" hidden="false" customHeight="true" outlineLevel="0" collapsed="false">
      <c r="B85" s="178" t="s">
        <v>151</v>
      </c>
      <c r="C85" s="178"/>
      <c r="D85" s="179" t="str">
        <f aca="false">IF(D83&lt;(D84),"YES","NO, Increase Rlstart and/or Tchg_req; and/or Reduce Cout")</f>
        <v>YES</v>
      </c>
      <c r="E85" s="179"/>
      <c r="F85" s="179"/>
      <c r="G85" s="179"/>
      <c r="H85" s="179"/>
      <c r="I85" s="179"/>
      <c r="J85" s="180"/>
      <c r="K85" s="181"/>
      <c r="L85" s="1" t="n">
        <v>85</v>
      </c>
      <c r="M85" s="1" t="n">
        <f aca="false">INDEX('Thermal Shutdown Limit Plot'!E11:F35,MATCH(Tchg_dvdt*(1+F78),'Thermal Shutdown Limit Plot'!F11:F35,-1),1)*0.8</f>
        <v>7.07152</v>
      </c>
    </row>
    <row r="86" customFormat="false" ht="18" hidden="false" customHeight="true" outlineLevel="0" collapsed="false">
      <c r="L86" s="1" t="n">
        <v>25</v>
      </c>
      <c r="M86" s="1" t="n">
        <f aca="false">INDEX('Thermal Shutdown Limit Plot'!C11:D37,MATCH(Tchg_dvdt*(1+F78),'Thermal Shutdown Limit Plot'!D11:D37,-1),1)*0.8</f>
        <v>10.067632</v>
      </c>
    </row>
    <row r="87" customFormat="false" ht="18" hidden="false" customHeight="true" outlineLevel="0" collapsed="false">
      <c r="B87" s="182" t="s">
        <v>152</v>
      </c>
      <c r="C87" s="182"/>
      <c r="D87" s="182"/>
      <c r="E87" s="182"/>
      <c r="F87" s="96"/>
      <c r="L87" s="11" t="s">
        <v>153</v>
      </c>
      <c r="M87" s="11"/>
    </row>
    <row r="88" customFormat="false" ht="18" hidden="false" customHeight="true" outlineLevel="0" collapsed="false">
      <c r="B88" s="156" t="s">
        <v>18</v>
      </c>
      <c r="C88" s="157" t="s">
        <v>19</v>
      </c>
      <c r="D88" s="158" t="s">
        <v>20</v>
      </c>
      <c r="E88" s="159" t="s">
        <v>21</v>
      </c>
      <c r="F88" s="160" t="s">
        <v>22</v>
      </c>
      <c r="L88" s="1" t="n">
        <v>125</v>
      </c>
      <c r="M88" s="1" t="n">
        <f aca="false">INDEX('Thermal Shutdown Limit Plot'!G48:H72,MATCH(Tchg_dvdt*(1+F78),'Thermal Shutdown Limit Plot'!H48:H72,-1),1)*0.8</f>
        <v>4.64421024</v>
      </c>
    </row>
    <row r="89" customFormat="false" ht="18" hidden="false" customHeight="true" outlineLevel="0" collapsed="false">
      <c r="B89" s="134" t="s">
        <v>154</v>
      </c>
      <c r="C89" s="18" t="s">
        <v>155</v>
      </c>
      <c r="D89" s="173" t="n">
        <f aca="false">Imax*Rdson_25deg</f>
        <v>138.9</v>
      </c>
      <c r="E89" s="50" t="s">
        <v>156</v>
      </c>
      <c r="F89" s="51"/>
      <c r="L89" s="1" t="n">
        <v>85</v>
      </c>
      <c r="M89" s="1" t="n">
        <f aca="false">INDEX('Thermal Shutdown Limit Plot'!E48:F70,MATCH(Tchg_dvdt*(1+F78),'Thermal Shutdown Limit Plot'!F48:F70,-1),1)*0.8</f>
        <v>6.31605</v>
      </c>
    </row>
    <row r="90" customFormat="false" ht="18" hidden="false" customHeight="true" outlineLevel="0" collapsed="false">
      <c r="B90" s="144" t="s">
        <v>157</v>
      </c>
      <c r="C90" s="145" t="s">
        <v>158</v>
      </c>
      <c r="D90" s="183" t="n">
        <f aca="false">Imax^2*Rdson_25deg</f>
        <v>208.35</v>
      </c>
      <c r="E90" s="154" t="s">
        <v>159</v>
      </c>
      <c r="F90" s="72"/>
      <c r="L90" s="1" t="n">
        <v>25</v>
      </c>
      <c r="M90" s="1" t="n">
        <f aca="false">INDEX('Thermal Shutdown Limit Plot'!C48:D74,MATCH(Tchg_dvdt*(1+F78),'Thermal Shutdown Limit Plot'!D48:D74,-1),1)*0.8</f>
        <v>10.7830472</v>
      </c>
    </row>
    <row r="91" customFormat="false" ht="18" hidden="false" customHeight="true" outlineLevel="0" collapsed="false">
      <c r="B91" s="184"/>
      <c r="C91" s="185"/>
      <c r="E91" s="5"/>
      <c r="G91" s="186"/>
    </row>
    <row r="92" customFormat="false" ht="18" hidden="false" customHeight="true" outlineLevel="0" collapsed="false">
      <c r="E92" s="5"/>
    </row>
    <row r="93" customFormat="false" ht="18" hidden="false" customHeight="true" outlineLevel="0" collapsed="false">
      <c r="E93" s="5"/>
    </row>
    <row r="94" customFormat="false" ht="18" hidden="false" customHeight="true" outlineLevel="0" collapsed="false">
      <c r="B94" s="187" t="s">
        <v>160</v>
      </c>
      <c r="C94" s="187"/>
      <c r="D94" s="140"/>
    </row>
    <row r="95" customFormat="false" ht="18" hidden="false" customHeight="true" outlineLevel="0" collapsed="false">
      <c r="B95" s="188" t="s">
        <v>161</v>
      </c>
      <c r="D95" s="140"/>
    </row>
    <row r="96" customFormat="false" ht="18" hidden="false" customHeight="true" outlineLevel="0" collapsed="false">
      <c r="B96" s="189" t="s">
        <v>18</v>
      </c>
      <c r="C96" s="190" t="s">
        <v>19</v>
      </c>
      <c r="D96" s="191" t="s">
        <v>20</v>
      </c>
      <c r="E96" s="189" t="s">
        <v>21</v>
      </c>
      <c r="F96" s="189" t="s">
        <v>22</v>
      </c>
    </row>
    <row r="97" customFormat="false" ht="18" hidden="false" customHeight="true" outlineLevel="0" collapsed="false">
      <c r="B97" s="59" t="s">
        <v>162</v>
      </c>
      <c r="C97" s="48" t="s">
        <v>163</v>
      </c>
      <c r="D97" s="192" t="n">
        <v>21</v>
      </c>
      <c r="E97" s="50" t="s">
        <v>28</v>
      </c>
      <c r="F97" s="193"/>
    </row>
    <row r="98" customFormat="false" ht="18" hidden="false" customHeight="true" outlineLevel="0" collapsed="false">
      <c r="B98" s="59" t="s">
        <v>164</v>
      </c>
      <c r="C98" s="48" t="s">
        <v>165</v>
      </c>
      <c r="D98" s="192" t="n">
        <v>2</v>
      </c>
      <c r="E98" s="50" t="s">
        <v>51</v>
      </c>
      <c r="F98" s="193"/>
    </row>
    <row r="99" customFormat="false" ht="18" hidden="false" customHeight="true" outlineLevel="0" collapsed="false">
      <c r="B99" s="59" t="s">
        <v>166</v>
      </c>
      <c r="C99" s="48" t="s">
        <v>167</v>
      </c>
      <c r="D99" s="192" t="n">
        <v>92.6</v>
      </c>
      <c r="E99" s="50" t="s">
        <v>168</v>
      </c>
      <c r="F99" s="193"/>
    </row>
    <row r="100" customFormat="false" ht="18" hidden="false" customHeight="true" outlineLevel="0" collapsed="false">
      <c r="B100" s="59" t="s">
        <v>169</v>
      </c>
      <c r="C100" s="48" t="s">
        <v>170</v>
      </c>
      <c r="D100" s="194" t="n">
        <v>131</v>
      </c>
      <c r="E100" s="50" t="s">
        <v>168</v>
      </c>
      <c r="F100" s="193"/>
    </row>
    <row r="101" customFormat="false" ht="18" hidden="false" customHeight="true" outlineLevel="0" collapsed="false">
      <c r="B101" s="188" t="s">
        <v>171</v>
      </c>
      <c r="D101" s="140"/>
    </row>
    <row r="102" customFormat="false" ht="18" hidden="false" customHeight="true" outlineLevel="0" collapsed="false">
      <c r="B102" s="59" t="s">
        <v>172</v>
      </c>
      <c r="C102" s="48" t="s">
        <v>173</v>
      </c>
      <c r="D102" s="192" t="n">
        <v>150</v>
      </c>
      <c r="E102" s="195" t="s">
        <v>174</v>
      </c>
      <c r="F102" s="196"/>
    </row>
    <row r="103" customFormat="false" ht="18" hidden="false" customHeight="true" outlineLevel="0" collapsed="false">
      <c r="B103" s="59" t="s">
        <v>175</v>
      </c>
      <c r="C103" s="48" t="s">
        <v>176</v>
      </c>
      <c r="D103" s="192" t="n">
        <v>125</v>
      </c>
      <c r="E103" s="195" t="s">
        <v>174</v>
      </c>
      <c r="F103" s="196"/>
    </row>
    <row r="104" customFormat="false" ht="18" hidden="false" customHeight="true" outlineLevel="0" collapsed="false">
      <c r="B104" s="59" t="s">
        <v>177</v>
      </c>
      <c r="C104" s="48" t="s">
        <v>178</v>
      </c>
      <c r="D104" s="192" t="n">
        <v>52.7</v>
      </c>
      <c r="E104" s="195" t="s">
        <v>179</v>
      </c>
      <c r="F104" s="196"/>
    </row>
    <row r="105" customFormat="false" ht="18" hidden="false" customHeight="true" outlineLevel="0" collapsed="false">
      <c r="B105" s="188" t="s">
        <v>180</v>
      </c>
      <c r="D105" s="140"/>
    </row>
    <row r="106" customFormat="false" ht="18" hidden="false" customHeight="true" outlineLevel="0" collapsed="false">
      <c r="B106" s="59" t="s">
        <v>181</v>
      </c>
      <c r="C106" s="48" t="s">
        <v>182</v>
      </c>
      <c r="D106" s="197" t="n">
        <v>1.1</v>
      </c>
      <c r="E106" s="50" t="s">
        <v>28</v>
      </c>
      <c r="F106" s="193" t="n">
        <v>0.063</v>
      </c>
    </row>
    <row r="107" customFormat="false" ht="18" hidden="false" customHeight="true" outlineLevel="0" collapsed="false">
      <c r="B107" s="59" t="s">
        <v>183</v>
      </c>
      <c r="C107" s="48" t="s">
        <v>184</v>
      </c>
      <c r="D107" s="197" t="n">
        <v>1.2</v>
      </c>
      <c r="E107" s="50" t="s">
        <v>28</v>
      </c>
      <c r="F107" s="193" t="n">
        <v>0.03</v>
      </c>
    </row>
    <row r="108" customFormat="false" ht="18" hidden="false" customHeight="true" outlineLevel="0" collapsed="false">
      <c r="B108" s="59" t="s">
        <v>185</v>
      </c>
      <c r="C108" s="48" t="s">
        <v>186</v>
      </c>
      <c r="D108" s="197" t="n">
        <v>655.6</v>
      </c>
      <c r="E108" s="50" t="s">
        <v>187</v>
      </c>
      <c r="F108" s="193" t="n">
        <v>0.037</v>
      </c>
    </row>
    <row r="109" customFormat="false" ht="18" hidden="false" customHeight="true" outlineLevel="0" collapsed="false"/>
  </sheetData>
  <sheetProtection sheet="true" password="ddfc" objects="true" scenarios="true" formatColumns="false" formatRows="false" selectLockedCells="true"/>
  <protectedRanges>
    <protectedRange name="UserInputs" sqref="D75 F75 D70:D71 D60 F60 D37 F37 D34 F34 D19:D23 F19 D10:D12 D28 D16:D17"/>
  </protectedRanges>
  <mergeCells count="18">
    <mergeCell ref="B1:G1"/>
    <mergeCell ref="N1:P1"/>
    <mergeCell ref="B27:C27"/>
    <mergeCell ref="B32:C32"/>
    <mergeCell ref="B36:D36"/>
    <mergeCell ref="B42:F42"/>
    <mergeCell ref="B48:C48"/>
    <mergeCell ref="B57:F57"/>
    <mergeCell ref="B59:D59"/>
    <mergeCell ref="B64:F64"/>
    <mergeCell ref="B74:D74"/>
    <mergeCell ref="B81:F81"/>
    <mergeCell ref="L82:M82"/>
    <mergeCell ref="B85:C85"/>
    <mergeCell ref="D85:I85"/>
    <mergeCell ref="B87:E87"/>
    <mergeCell ref="L87:M87"/>
    <mergeCell ref="B94:C94"/>
  </mergeCells>
  <conditionalFormatting sqref="D55">
    <cfRule type="cellIs" priority="2" operator="lessThan" aboveAverage="0" equalAverage="0" bottom="0" percent="0" rank="0" text="" dxfId="0">
      <formula>1</formula>
    </cfRule>
  </conditionalFormatting>
  <conditionalFormatting sqref="D40">
    <cfRule type="cellIs" priority="3" operator="lessThan" aboveAverage="0" equalAverage="0" bottom="0" percent="0" rank="0" text="" dxfId="1">
      <formula>1</formula>
    </cfRule>
  </conditionalFormatting>
  <conditionalFormatting sqref="D17">
    <cfRule type="cellIs" priority="4" operator="greaterThanOrEqual" aboveAverage="0" equalAverage="0" bottom="0" percent="0" rank="0" text="" dxfId="2">
      <formula>$D$12</formula>
    </cfRule>
  </conditionalFormatting>
  <conditionalFormatting sqref="D16">
    <cfRule type="cellIs" priority="5" operator="greaterThan" aboveAverage="0" equalAverage="0" bottom="0" percent="0" rank="0" text="" dxfId="3">
      <formula>$D$11</formula>
    </cfRule>
  </conditionalFormatting>
  <conditionalFormatting sqref="D22">
    <cfRule type="cellIs" priority="6" operator="lessThan" aboveAverage="0" equalAverage="0" bottom="0" percent="0" rank="0" text="" dxfId="4">
      <formula>$D$21</formula>
    </cfRule>
  </conditionalFormatting>
  <conditionalFormatting sqref="D11">
    <cfRule type="cellIs" priority="7" operator="greaterThan" aboveAverage="0" equalAverage="0" bottom="0" percent="0" rank="0" text="" dxfId="5">
      <formula>$D$14</formula>
    </cfRule>
  </conditionalFormatting>
  <conditionalFormatting sqref="D77">
    <cfRule type="cellIs" priority="8" operator="equal" aboveAverage="0" equalAverage="0" bottom="0" percent="0" rank="0" text="" dxfId="6">
      <formula>1</formula>
    </cfRule>
  </conditionalFormatting>
  <conditionalFormatting sqref="D70">
    <cfRule type="cellIs" priority="9" operator="greaterThan" aboveAverage="0" equalAverage="0" bottom="0" percent="0" rank="0" text="" dxfId="7">
      <formula>$D$78</formula>
    </cfRule>
    <cfRule type="expression" priority="10" aboveAverage="0" equalAverage="0" bottom="0" percent="0" rank="0" text="" dxfId="8">
      <formula>$D$85&lt;&gt;"YES"</formula>
    </cfRule>
  </conditionalFormatting>
  <conditionalFormatting sqref="D71">
    <cfRule type="cellIs" priority="11" operator="greaterThan" aboveAverage="0" equalAverage="0" bottom="0" percent="0" rank="0" text="" dxfId="9">
      <formula>$D$61</formula>
    </cfRule>
  </conditionalFormatting>
  <conditionalFormatting sqref="D19">
    <cfRule type="expression" priority="12" aboveAverage="0" equalAverage="0" bottom="0" percent="0" rank="0" text="" dxfId="10">
      <formula>$D$85&lt;&gt;"YES"</formula>
    </cfRule>
  </conditionalFormatting>
  <conditionalFormatting sqref="D85">
    <cfRule type="cellIs" priority="13" operator="equal" aboveAverage="0" equalAverage="0" bottom="0" percent="0" rank="0" text="" dxfId="11">
      <formula>"YES"</formula>
    </cfRule>
    <cfRule type="cellIs" priority="14" operator="notEqual" aboveAverage="0" equalAverage="0" bottom="0" percent="0" rank="0" text="" dxfId="12">
      <formula>"YES"</formula>
    </cfRule>
  </conditionalFormatting>
  <conditionalFormatting sqref="D16:D17">
    <cfRule type="cellIs" priority="15" operator="lessThan" aboveAverage="0" equalAverage="0" bottom="0" percent="0" rank="0" text="" dxfId="13">
      <formula>$D$18</formula>
    </cfRule>
  </conditionalFormatting>
  <conditionalFormatting sqref="D21">
    <cfRule type="cellIs" priority="16" operator="greaterThan" aboveAverage="0" equalAverage="0" bottom="0" percent="0" rank="0" text="" dxfId="14">
      <formula>4</formula>
    </cfRule>
  </conditionalFormatting>
  <conditionalFormatting sqref="D12">
    <cfRule type="cellIs" priority="17" operator="greaterThan" aboveAverage="0" equalAverage="0" bottom="0" percent="0" rank="0" text="" dxfId="15">
      <formula>$D$15</formula>
    </cfRule>
  </conditionalFormatting>
  <conditionalFormatting sqref="D20">
    <cfRule type="cellIs" priority="18" operator="lessThan" aboveAverage="0" equalAverage="0" bottom="0" percent="0" rank="0" text="" dxfId="16">
      <formula>$G$20</formula>
    </cfRule>
    <cfRule type="expression" priority="19" aboveAverage="0" equalAverage="0" bottom="0" percent="0" rank="0" text="" dxfId="17">
      <formula>$D$85&lt;&gt;"YES"</formula>
    </cfRule>
  </conditionalFormatting>
  <dataValidations count="20">
    <dataValidation allowBlank="true" error="Enter a value less than Ilimit_final" errorStyle="stop" errorTitle="Error (Reenter the Value)" operator="lessThanOrEqual" prompt="Enter a value less than Ilimit_final" promptTitle="Restriction" showDropDown="false" showErrorMessage="true" showInputMessage="true" sqref="D71" type="decimal">
      <formula1>D61</formula1>
      <formula2>0</formula2>
    </dataValidation>
    <dataValidation allowBlank="false" error="Only values greater than UVref will be accepted" errorStyle="stop" errorTitle="Error (Reenter the Value)" operator="between" prompt="Please enter a value greater than UVref" promptTitle="Restriction" showDropDown="false" showErrorMessage="false" showInputMessage="false" sqref="D18" type="none">
      <formula1>0</formula1>
      <formula2>0</formula2>
    </dataValidation>
    <dataValidation allowBlank="false" error="Start-up Load Resistor is &lt; VCC(max)/Imax, this will prevent start-up." errorStyle="stop" errorTitle="ERROR!!" operator="greaterThan" prompt="Start-up Load must be &gt; VCC(max)/Imax" showDropDown="false" showErrorMessage="true" showInputMessage="true" sqref="D20" type="decimal">
      <formula1>G20</formula1>
      <formula2>0</formula2>
    </dataValidation>
    <dataValidation allowBlank="true" error="Only values &gt;= Tchg_fastest will be accepted" errorStyle="stop" errorTitle="Error (Reenter the Value)" operator="greaterThanOrEqual" prompt="Enter a value &gt;= Tchg_fastest" promptTitle="Restriction" showDropDown="false" showErrorMessage="true" showInputMessage="true" sqref="D70" type="decimal">
      <formula1>D69</formula1>
      <formula2>0</formula2>
    </dataValidation>
    <dataValidation allowBlank="true" error="0.125 &lt;= Ilimit &lt;= 2" errorStyle="stop" operator="between" prompt="0.125 &lt;= Ilimit &lt;= 2" showDropDown="false" showErrorMessage="true" showInputMessage="true" sqref="D22" type="decimal">
      <formula1>0.125</formula1>
      <formula2>2</formula2>
    </dataValidation>
    <dataValidation allowBlank="true" error="Imax &lt;= 1.85 A, Max Load current should be less than Maximum Current Limit Setting including Tolerance" errorStyle="stop" operator="lessThanOrEqual" prompt="Imax &lt;= 1.85 A" showDropDown="false" showErrorMessage="true" showInputMessage="true" sqref="D21" type="decimal">
      <formula1>1.85</formula1>
      <formula2>0</formula2>
    </dataValidation>
    <dataValidation allowBlank="false" error="Only values less than Ilimit_final will be accepted" errorStyle="stop" errorTitle="Error (Reenter the Value)" operator="between" prompt="Please enter a value less than Ilimit_final" promptTitle="Restriction" showDropDown="false" showErrorMessage="true" showInputMessage="true" sqref="K78" type="custom">
      <formula1>K78&lt;K67</formula1>
      <formula2>0</formula2>
    </dataValidation>
    <dataValidation allowBlank="false" error="Only values greater than Tchg_min will be accepted" errorStyle="stop" errorTitle="Error (Reenter the Value)" operator="between" prompt="Please enter a value greater than Tchg_min calculated" promptTitle="Restriction" showDropDown="false" showErrorMessage="true" showInputMessage="true" sqref="K77" type="custom">
      <formula1>K77&gt;K76</formula1>
      <formula2>0</formula2>
    </dataValidation>
    <dataValidation allowBlank="true" errorStyle="stop" operator="between" prompt="Considered 20% as design margin" showDropDown="false" showErrorMessage="true" showInputMessage="true" sqref="D85" type="none">
      <formula1>0</formula1>
      <formula2>0</formula2>
    </dataValidation>
    <dataValidation allowBlank="true" error="Use OPEN or &gt;=1 nF" errorStyle="stop" operator="greaterThanOrEqual" prompt="Use OPEN or &gt;=1 nF" showDropDown="false" showErrorMessage="true" showInputMessage="true" sqref="D75" type="decimal">
      <formula1>1</formula1>
      <formula2>0</formula2>
    </dataValidation>
    <dataValidation allowBlank="false" error="VIN(operating max) must be &lt; Vovc" errorStyle="stop" operator="lessThanOrEqual" prompt="VIN(max) must be &lt; VOVC" showDropDown="false" showErrorMessage="true" showInputMessage="true" sqref="D11" type="decimal">
      <formula1>D14</formula1>
      <formula2>0</formula2>
    </dataValidation>
    <dataValidation allowBlank="false" error="VIN(operating max) must be &lt; OVLO Set Point" errorStyle="stop" operator="lessThanOrEqual" prompt="VIN(max) must be &lt; OVLO Set Point" showDropDown="false" showErrorMessage="true" showInputMessage="true" sqref="D12" type="decimal">
      <formula1>D15</formula1>
      <formula2>0</formula2>
    </dataValidation>
    <dataValidation allowBlank="true" error="UVset must be &gt;VUVP and &lt; VIN(max)  " errorStyle="stop" operator="lessThanOrEqual" prompt="UVset must be &gt;VUVP and &lt; VIN(max)  " showDropDown="false" showErrorMessage="true" showInputMessage="true" sqref="D16" type="decimal">
      <formula1>D11</formula1>
      <formula2>0</formula2>
    </dataValidation>
    <dataValidation allowBlank="true" error="UVset must be &gt;VUVP and &lt; VIN(max)  " errorStyle="stop" operator="lessThanOrEqual" prompt="UVset must be &gt;VUVP and &lt; VIN(max)   " showDropDown="false" showErrorMessage="true" showInputMessage="true" sqref="D17" type="decimal">
      <formula1>D12</formula1>
      <formula2>0</formula2>
    </dataValidation>
    <dataValidation allowBlank="true" error="OVLO Set Point Should be &lt; 19V" errorStyle="stop" operator="lessThanOrEqual" showDropDown="false" showErrorMessage="true" showInputMessage="true" sqref="D15" type="decimal">
      <formula1>19</formula1>
      <formula2>0</formula2>
    </dataValidation>
    <dataValidation allowBlank="true" error="-40 &lt; TA,MAX &lt;= 125" errorStyle="stop" operator="between" prompt="-40 &lt; TA,MAX &lt;= 125" showDropDown="false" showErrorMessage="true" showInputMessage="true" sqref="D23" type="decimal">
      <formula1>-40</formula1>
      <formula2>125</formula2>
    </dataValidation>
    <dataValidation allowBlank="true" errorStyle="stop" operator="between" showDropDown="false" showErrorMessage="true" showInputMessage="true" sqref="D14" type="list">
      <formula1>$J$15:$L$15</formula1>
      <formula2>0</formula2>
    </dataValidation>
    <dataValidation allowBlank="true" error="Choose from the drop-down list" errorStyle="stop" operator="between" showDropDown="false" showErrorMessage="true" showInputMessage="true" sqref="D10" type="list">
      <formula1>$N$3:$N$6</formula1>
      <formula2>0</formula2>
    </dataValidation>
    <dataValidation allowBlank="true" errorStyle="stop" operator="between" prompt="Select R1 and R2 such that I_R12 is &gt; 1 uA" showDropDown="false" showErrorMessage="true" showInputMessage="true" sqref="D40" type="none">
      <formula1>0</formula1>
      <formula2>0</formula2>
    </dataValidation>
    <dataValidation allowBlank="true" errorStyle="stop" operator="between" prompt="Select R1, R2 and R3 such that I_R123 is &gt; 1 uA" showDropDown="false" showErrorMessage="true" showInputMessage="true" sqref="D55" type="none">
      <formula1>0</formula1>
      <formula2>0</formula2>
    </dataValidation>
  </dataValidations>
  <hyperlinks>
    <hyperlink ref="C20" r:id="rId2" display="Load at start-up (assumed to be resistive), Refer to Section 9.2.3.3.2 in Datasheet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Q101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9.109375" defaultRowHeight="14.25" zeroHeight="false" outlineLevelRow="0" outlineLevelCol="0"/>
  <cols>
    <col collapsed="false" customWidth="true" hidden="false" outlineLevel="0" max="1" min="1" style="198" width="17.67"/>
    <col collapsed="false" customWidth="true" hidden="false" outlineLevel="0" max="2" min="2" style="198" width="13.34"/>
    <col collapsed="false" customWidth="true" hidden="false" outlineLevel="0" max="3" min="3" style="198" width="11.67"/>
    <col collapsed="false" customWidth="true" hidden="false" outlineLevel="0" max="4" min="4" style="198" width="16.89"/>
    <col collapsed="false" customWidth="true" hidden="false" outlineLevel="0" max="13" min="5" style="198" width="10.44"/>
    <col collapsed="false" customWidth="true" hidden="false" outlineLevel="0" max="14" min="14" style="199" width="8.11"/>
    <col collapsed="false" customWidth="true" hidden="false" outlineLevel="0" max="15" min="15" style="199" width="13.88"/>
    <col collapsed="false" customWidth="false" hidden="false" outlineLevel="0" max="16384" min="16" style="199" width="9.11"/>
  </cols>
  <sheetData>
    <row r="2" customFormat="false" ht="14.25" hidden="false" customHeight="false" outlineLevel="0" collapsed="false">
      <c r="B2" s="200" t="s">
        <v>188</v>
      </c>
      <c r="C2" s="200" t="s">
        <v>189</v>
      </c>
    </row>
    <row r="3" customFormat="false" ht="14.25" hidden="false" customHeight="false" outlineLevel="0" collapsed="false">
      <c r="B3" s="200" t="n">
        <f aca="false">'Calculation Sheet'!D83</f>
        <v>2.40845454545455</v>
      </c>
      <c r="C3" s="200" t="n">
        <f aca="false">Tchg_dvdt</f>
        <v>5.95802301963439</v>
      </c>
    </row>
    <row r="4" customFormat="false" ht="14.25" hidden="false" customHeight="false" outlineLevel="0" collapsed="false">
      <c r="B4" s="201"/>
      <c r="C4" s="201"/>
    </row>
    <row r="5" customFormat="false" ht="14.25" hidden="false" customHeight="false" outlineLevel="0" collapsed="false">
      <c r="B5" s="201"/>
      <c r="C5" s="201"/>
    </row>
    <row r="6" customFormat="false" ht="14.25" hidden="false" customHeight="false" outlineLevel="0" collapsed="false">
      <c r="B6" s="201"/>
      <c r="C6" s="201"/>
    </row>
    <row r="8" customFormat="false" ht="15" hidden="false" customHeight="false" outlineLevel="0" collapsed="false">
      <c r="A8" s="202" t="s">
        <v>190</v>
      </c>
      <c r="B8" s="203"/>
      <c r="C8" s="203"/>
      <c r="D8" s="203"/>
      <c r="K8" s="204" t="s">
        <v>191</v>
      </c>
      <c r="L8" s="199"/>
      <c r="M8" s="205" t="s">
        <v>192</v>
      </c>
      <c r="N8" s="206"/>
      <c r="O8" s="206"/>
      <c r="P8" s="206"/>
      <c r="Q8" s="206"/>
    </row>
    <row r="9" s="199" customFormat="true" ht="16.5" hidden="false" customHeight="true" outlineLevel="0" collapsed="false">
      <c r="A9" s="207" t="s">
        <v>193</v>
      </c>
      <c r="B9" s="207"/>
      <c r="C9" s="207" t="s">
        <v>194</v>
      </c>
      <c r="D9" s="207"/>
      <c r="E9" s="207" t="s">
        <v>195</v>
      </c>
      <c r="F9" s="207"/>
      <c r="G9" s="207" t="s">
        <v>196</v>
      </c>
      <c r="H9" s="207"/>
      <c r="I9" s="208"/>
      <c r="J9" s="203"/>
      <c r="M9" s="209"/>
    </row>
    <row r="10" customFormat="false" ht="16.5" hidden="false" customHeight="true" outlineLevel="0" collapsed="false">
      <c r="A10" s="210" t="s">
        <v>197</v>
      </c>
      <c r="B10" s="210" t="s">
        <v>198</v>
      </c>
      <c r="C10" s="210" t="s">
        <v>197</v>
      </c>
      <c r="D10" s="210" t="s">
        <v>198</v>
      </c>
      <c r="E10" s="210" t="s">
        <v>197</v>
      </c>
      <c r="F10" s="210" t="s">
        <v>198</v>
      </c>
      <c r="G10" s="210" t="s">
        <v>197</v>
      </c>
      <c r="H10" s="210" t="s">
        <v>198</v>
      </c>
      <c r="I10" s="211"/>
      <c r="J10" s="212"/>
      <c r="K10" s="213" t="s">
        <v>199</v>
      </c>
      <c r="L10" s="199" t="s">
        <v>200</v>
      </c>
      <c r="M10" s="214" t="s">
        <v>201</v>
      </c>
    </row>
    <row r="11" s="199" customFormat="true" ht="14.25" hidden="false" customHeight="false" outlineLevel="0" collapsed="false">
      <c r="A11" s="200" t="n">
        <v>4.6677672</v>
      </c>
      <c r="B11" s="200" t="n">
        <v>15610</v>
      </c>
      <c r="C11" s="200" t="n">
        <v>3.3083904</v>
      </c>
      <c r="D11" s="200" t="n">
        <v>14720</v>
      </c>
      <c r="E11" s="200" t="n">
        <v>1.931697</v>
      </c>
      <c r="F11" s="200" t="n">
        <v>13390</v>
      </c>
      <c r="G11" s="200" t="n">
        <v>0.9803589</v>
      </c>
      <c r="H11" s="200" t="n">
        <v>12240</v>
      </c>
      <c r="I11" s="201"/>
      <c r="J11" s="212"/>
      <c r="L11" s="199" t="s">
        <v>202</v>
      </c>
      <c r="M11" s="214" t="s">
        <v>203</v>
      </c>
    </row>
    <row r="12" customFormat="false" ht="14.25" hidden="false" customHeight="false" outlineLevel="0" collapsed="false">
      <c r="A12" s="200" t="n">
        <v>4.84484</v>
      </c>
      <c r="B12" s="200" t="n">
        <v>11100</v>
      </c>
      <c r="C12" s="200" t="n">
        <v>3.4777305</v>
      </c>
      <c r="D12" s="200" t="n">
        <v>10400</v>
      </c>
      <c r="E12" s="200" t="n">
        <v>2.0282184</v>
      </c>
      <c r="F12" s="200" t="n">
        <v>12320</v>
      </c>
      <c r="G12" s="200" t="n">
        <v>1.0744272</v>
      </c>
      <c r="H12" s="200" t="n">
        <v>9459</v>
      </c>
      <c r="I12" s="201"/>
      <c r="J12" s="212"/>
      <c r="K12" s="212"/>
      <c r="L12" s="212"/>
      <c r="M12" s="212"/>
      <c r="N12" s="215"/>
      <c r="Q12" s="209"/>
    </row>
    <row r="13" customFormat="false" ht="14.25" hidden="false" customHeight="false" outlineLevel="0" collapsed="false">
      <c r="A13" s="200" t="n">
        <v>5.12967</v>
      </c>
      <c r="B13" s="200" t="n">
        <v>7707</v>
      </c>
      <c r="C13" s="200" t="n">
        <v>3.6426455</v>
      </c>
      <c r="D13" s="200" t="n">
        <v>8109</v>
      </c>
      <c r="E13" s="200" t="n">
        <v>2.1172004</v>
      </c>
      <c r="F13" s="200" t="n">
        <v>7698</v>
      </c>
      <c r="G13" s="200" t="n">
        <v>1.39248</v>
      </c>
      <c r="H13" s="200" t="n">
        <v>6395</v>
      </c>
      <c r="I13" s="201"/>
      <c r="J13" s="212"/>
      <c r="K13" s="212"/>
      <c r="L13" s="212"/>
      <c r="M13" s="212"/>
      <c r="N13" s="215"/>
      <c r="Q13" s="214"/>
    </row>
    <row r="14" customFormat="false" ht="14.25" hidden="false" customHeight="false" outlineLevel="0" collapsed="false">
      <c r="A14" s="200" t="n">
        <v>5.2304864</v>
      </c>
      <c r="B14" s="200" t="n">
        <v>6703</v>
      </c>
      <c r="C14" s="200" t="n">
        <v>4.008</v>
      </c>
      <c r="D14" s="200" t="n">
        <v>4688</v>
      </c>
      <c r="E14" s="200" t="n">
        <v>2.2043175</v>
      </c>
      <c r="F14" s="200" t="n">
        <v>5925</v>
      </c>
      <c r="G14" s="200" t="n">
        <v>1.4789298</v>
      </c>
      <c r="H14" s="200" t="n">
        <v>3656</v>
      </c>
      <c r="I14" s="201"/>
      <c r="J14" s="212"/>
      <c r="K14" s="212"/>
      <c r="L14" s="212"/>
      <c r="M14" s="212"/>
      <c r="N14" s="216"/>
      <c r="Q14" s="214"/>
    </row>
    <row r="15" customFormat="false" ht="14.25" hidden="false" customHeight="false" outlineLevel="0" collapsed="false">
      <c r="A15" s="200" t="n">
        <v>5.6380619</v>
      </c>
      <c r="B15" s="200" t="n">
        <v>4820</v>
      </c>
      <c r="C15" s="200" t="n">
        <v>4.2149956</v>
      </c>
      <c r="D15" s="200" t="n">
        <v>4308</v>
      </c>
      <c r="E15" s="200" t="n">
        <v>2.595428</v>
      </c>
      <c r="F15" s="200" t="n">
        <v>4705</v>
      </c>
      <c r="G15" s="200" t="n">
        <v>1.593616</v>
      </c>
      <c r="H15" s="200" t="n">
        <v>2885</v>
      </c>
      <c r="I15" s="201"/>
      <c r="J15" s="212"/>
      <c r="K15" s="212"/>
      <c r="L15" s="212"/>
      <c r="M15" s="212"/>
      <c r="N15" s="216"/>
      <c r="Q15" s="209"/>
    </row>
    <row r="16" customFormat="false" ht="14.25" hidden="false" customHeight="false" outlineLevel="0" collapsed="false">
      <c r="A16" s="200" t="n">
        <v>6.10742</v>
      </c>
      <c r="B16" s="200" t="n">
        <v>4406</v>
      </c>
      <c r="C16" s="200" t="n">
        <v>4.52956</v>
      </c>
      <c r="D16" s="200" t="n">
        <v>3159</v>
      </c>
      <c r="E16" s="200" t="n">
        <v>2.784465</v>
      </c>
      <c r="F16" s="200" t="n">
        <v>3955</v>
      </c>
      <c r="G16" s="200" t="n">
        <v>1.613016</v>
      </c>
      <c r="H16" s="200" t="n">
        <v>1736</v>
      </c>
      <c r="I16" s="201"/>
      <c r="J16" s="212"/>
      <c r="K16" s="212"/>
      <c r="L16" s="212"/>
      <c r="M16" s="212"/>
      <c r="N16" s="215"/>
      <c r="Q16" s="209"/>
    </row>
    <row r="17" customFormat="false" ht="14.25" hidden="false" customHeight="false" outlineLevel="0" collapsed="false">
      <c r="A17" s="200" t="n">
        <v>6.47088</v>
      </c>
      <c r="B17" s="200" t="n">
        <v>3588</v>
      </c>
      <c r="C17" s="200" t="n">
        <v>5.293542</v>
      </c>
      <c r="D17" s="200" t="n">
        <v>2386</v>
      </c>
      <c r="E17" s="200" t="n">
        <v>2.810102</v>
      </c>
      <c r="F17" s="200" t="n">
        <v>3440</v>
      </c>
      <c r="G17" s="200" t="n">
        <v>1.661306</v>
      </c>
      <c r="H17" s="200" t="n">
        <v>1575</v>
      </c>
      <c r="I17" s="201"/>
      <c r="J17" s="212"/>
      <c r="K17" s="212"/>
      <c r="L17" s="212"/>
      <c r="M17" s="212"/>
      <c r="N17" s="216"/>
      <c r="Q17" s="217"/>
    </row>
    <row r="18" customFormat="false" ht="14.25" hidden="false" customHeight="false" outlineLevel="0" collapsed="false">
      <c r="A18" s="200" t="n">
        <v>6.661628</v>
      </c>
      <c r="B18" s="200" t="n">
        <v>3022</v>
      </c>
      <c r="C18" s="200" t="n">
        <v>5.4132</v>
      </c>
      <c r="D18" s="200" t="n">
        <v>1901</v>
      </c>
      <c r="E18" s="200" t="n">
        <v>3.008124</v>
      </c>
      <c r="F18" s="200" t="n">
        <v>2701</v>
      </c>
      <c r="G18" s="200" t="n">
        <v>1.7863023</v>
      </c>
      <c r="H18" s="200" t="n">
        <v>1023</v>
      </c>
      <c r="I18" s="201"/>
      <c r="J18" s="212"/>
      <c r="K18" s="212"/>
      <c r="L18" s="212"/>
      <c r="M18" s="212"/>
      <c r="N18" s="216"/>
      <c r="Q18" s="217"/>
    </row>
    <row r="19" customFormat="false" ht="14.25" hidden="false" customHeight="false" outlineLevel="0" collapsed="false">
      <c r="A19" s="200" t="n">
        <v>7.037257</v>
      </c>
      <c r="B19" s="200" t="n">
        <v>2052</v>
      </c>
      <c r="C19" s="200" t="n">
        <v>5.541356</v>
      </c>
      <c r="D19" s="200" t="n">
        <v>1811</v>
      </c>
      <c r="E19" s="200" t="n">
        <v>3.020535</v>
      </c>
      <c r="F19" s="200" t="n">
        <v>2447</v>
      </c>
      <c r="G19" s="200" t="n">
        <v>1.9034899</v>
      </c>
      <c r="H19" s="200" t="n">
        <v>782.4</v>
      </c>
      <c r="I19" s="201"/>
      <c r="J19" s="212"/>
      <c r="K19" s="212"/>
      <c r="L19" s="212"/>
      <c r="M19" s="212"/>
      <c r="N19" s="216"/>
    </row>
    <row r="20" customFormat="false" ht="14.25" hidden="false" customHeight="false" outlineLevel="0" collapsed="false">
      <c r="A20" s="200" t="n">
        <v>7.223552</v>
      </c>
      <c r="B20" s="200" t="n">
        <v>1878</v>
      </c>
      <c r="C20" s="200" t="n">
        <v>5.720923</v>
      </c>
      <c r="D20" s="200" t="n">
        <v>1531</v>
      </c>
      <c r="E20" s="200" t="n">
        <v>3.154956</v>
      </c>
      <c r="F20" s="200" t="n">
        <v>1999</v>
      </c>
      <c r="G20" s="200" t="n">
        <v>2.05971</v>
      </c>
      <c r="H20" s="200" t="n">
        <v>616</v>
      </c>
      <c r="I20" s="201"/>
      <c r="J20" s="212"/>
      <c r="K20" s="212"/>
      <c r="L20" s="212"/>
      <c r="M20" s="212"/>
      <c r="N20" s="216"/>
    </row>
    <row r="21" customFormat="false" ht="14.25" hidden="false" customHeight="false" outlineLevel="0" collapsed="false">
      <c r="A21" s="200" t="n">
        <v>7.610851</v>
      </c>
      <c r="B21" s="200" t="n">
        <v>1362</v>
      </c>
      <c r="C21" s="200" t="n">
        <v>5.814459</v>
      </c>
      <c r="D21" s="200" t="n">
        <v>1351</v>
      </c>
      <c r="E21" s="200" t="n">
        <v>3.36592</v>
      </c>
      <c r="F21" s="200" t="n">
        <v>1573</v>
      </c>
      <c r="G21" s="200" t="n">
        <v>2.231055</v>
      </c>
      <c r="H21" s="200" t="n">
        <v>352.7</v>
      </c>
      <c r="I21" s="201"/>
      <c r="J21" s="212"/>
      <c r="K21" s="212"/>
      <c r="L21" s="212"/>
      <c r="M21" s="212"/>
      <c r="N21" s="216"/>
    </row>
    <row r="22" customFormat="false" ht="14.25" hidden="false" customHeight="false" outlineLevel="0" collapsed="false">
      <c r="A22" s="200" t="n">
        <v>8.033485</v>
      </c>
      <c r="B22" s="200" t="n">
        <v>1073</v>
      </c>
      <c r="C22" s="200" t="n">
        <v>5.861752</v>
      </c>
      <c r="D22" s="200" t="n">
        <v>1314</v>
      </c>
      <c r="E22" s="200" t="n">
        <v>3.402422</v>
      </c>
      <c r="F22" s="200" t="n">
        <v>1443</v>
      </c>
      <c r="G22" s="200" t="n">
        <v>2.62676</v>
      </c>
      <c r="H22" s="200" t="n">
        <v>241.5</v>
      </c>
      <c r="I22" s="201"/>
      <c r="J22" s="212"/>
      <c r="K22" s="212"/>
      <c r="L22" s="212"/>
      <c r="M22" s="212"/>
      <c r="N22" s="216"/>
    </row>
    <row r="23" customFormat="false" ht="14.25" hidden="false" customHeight="false" outlineLevel="0" collapsed="false">
      <c r="A23" s="200" t="n">
        <v>8.468757</v>
      </c>
      <c r="B23" s="200" t="n">
        <v>682.7</v>
      </c>
      <c r="C23" s="200" t="n">
        <v>6.06837</v>
      </c>
      <c r="D23" s="200" t="n">
        <v>1015</v>
      </c>
      <c r="E23" s="200" t="n">
        <v>3.813725</v>
      </c>
      <c r="F23" s="200" t="n">
        <v>954.4</v>
      </c>
      <c r="G23" s="200" t="n">
        <v>3.000413</v>
      </c>
      <c r="H23" s="200" t="n">
        <v>117.7</v>
      </c>
      <c r="I23" s="201"/>
      <c r="J23" s="212"/>
      <c r="K23" s="212"/>
      <c r="L23" s="212"/>
      <c r="M23" s="212"/>
      <c r="N23" s="215"/>
    </row>
    <row r="24" customFormat="false" ht="14.25" hidden="false" customHeight="false" outlineLevel="0" collapsed="false">
      <c r="A24" s="200" t="n">
        <v>8.846375</v>
      </c>
      <c r="B24" s="200" t="n">
        <v>627</v>
      </c>
      <c r="C24" s="200" t="n">
        <v>6.27708</v>
      </c>
      <c r="D24" s="200" t="n">
        <v>699.9</v>
      </c>
      <c r="E24" s="200" t="n">
        <v>4.1538</v>
      </c>
      <c r="F24" s="200" t="n">
        <v>717.2</v>
      </c>
      <c r="G24" s="200" t="n">
        <v>3.091452</v>
      </c>
      <c r="H24" s="200" t="n">
        <v>85.61</v>
      </c>
      <c r="I24" s="201"/>
      <c r="J24" s="212"/>
      <c r="K24" s="212"/>
      <c r="L24" s="212"/>
      <c r="M24" s="212"/>
      <c r="N24" s="215"/>
    </row>
    <row r="25" customFormat="false" ht="14.25" hidden="false" customHeight="false" outlineLevel="0" collapsed="false">
      <c r="A25" s="200" t="n">
        <v>9.26279</v>
      </c>
      <c r="B25" s="200" t="n">
        <v>487.8</v>
      </c>
      <c r="C25" s="200" t="n">
        <v>6.624324</v>
      </c>
      <c r="D25" s="200" t="n">
        <v>567.4</v>
      </c>
      <c r="E25" s="200" t="n">
        <v>4.630455</v>
      </c>
      <c r="F25" s="200" t="n">
        <v>416.1</v>
      </c>
      <c r="G25" s="200" t="n">
        <v>3.384315</v>
      </c>
      <c r="H25" s="200" t="n">
        <v>63.86</v>
      </c>
      <c r="I25" s="201"/>
      <c r="J25" s="212"/>
      <c r="K25" s="212"/>
      <c r="L25" s="212"/>
      <c r="M25" s="212"/>
      <c r="N25" s="215"/>
    </row>
    <row r="26" customFormat="false" ht="14.25" hidden="false" customHeight="false" outlineLevel="0" collapsed="false">
      <c r="A26" s="200" t="n">
        <v>9.671494</v>
      </c>
      <c r="B26" s="200" t="n">
        <v>373.4</v>
      </c>
      <c r="C26" s="200" t="n">
        <v>7.03596</v>
      </c>
      <c r="D26" s="200" t="n">
        <v>393.7</v>
      </c>
      <c r="E26" s="200" t="n">
        <v>5.005812</v>
      </c>
      <c r="F26" s="200" t="n">
        <v>287.1</v>
      </c>
      <c r="G26" s="200" t="n">
        <v>3.57975</v>
      </c>
      <c r="H26" s="200" t="n">
        <v>49.5</v>
      </c>
      <c r="I26" s="201"/>
      <c r="J26" s="212"/>
      <c r="K26" s="212"/>
      <c r="L26" s="212"/>
      <c r="M26" s="212"/>
      <c r="N26" s="216"/>
    </row>
    <row r="27" customFormat="false" ht="14.25" hidden="false" customHeight="false" outlineLevel="0" collapsed="false">
      <c r="A27" s="200" t="n">
        <v>10.109862</v>
      </c>
      <c r="B27" s="200" t="n">
        <v>294.8</v>
      </c>
      <c r="C27" s="200" t="n">
        <v>7.461531</v>
      </c>
      <c r="D27" s="200" t="n">
        <v>284.1</v>
      </c>
      <c r="E27" s="200" t="n">
        <v>5.396715</v>
      </c>
      <c r="F27" s="200" t="n">
        <v>182.5</v>
      </c>
      <c r="G27" s="200" t="n">
        <v>3.612645</v>
      </c>
      <c r="H27" s="200" t="n">
        <v>36.83</v>
      </c>
      <c r="I27" s="201"/>
      <c r="J27" s="212"/>
      <c r="K27" s="212"/>
      <c r="L27" s="212"/>
      <c r="M27" s="212"/>
      <c r="N27" s="215"/>
    </row>
    <row r="28" customFormat="false" ht="14.25" hidden="false" customHeight="false" outlineLevel="0" collapsed="false">
      <c r="A28" s="200" t="n">
        <v>10.492485</v>
      </c>
      <c r="B28" s="200" t="n">
        <v>231.3</v>
      </c>
      <c r="C28" s="200" t="n">
        <v>7.8617</v>
      </c>
      <c r="D28" s="200" t="n">
        <v>204.3</v>
      </c>
      <c r="E28" s="200" t="n">
        <v>5.63667</v>
      </c>
      <c r="F28" s="200" t="n">
        <v>113.4</v>
      </c>
      <c r="G28" s="200" t="n">
        <v>3.85839</v>
      </c>
      <c r="H28" s="200" t="n">
        <v>29.79</v>
      </c>
      <c r="I28" s="201"/>
      <c r="J28" s="212"/>
      <c r="K28" s="212"/>
      <c r="L28" s="212"/>
      <c r="M28" s="212"/>
      <c r="N28" s="215"/>
    </row>
    <row r="29" customFormat="false" ht="14.25" hidden="false" customHeight="false" outlineLevel="0" collapsed="false">
      <c r="A29" s="200" t="n">
        <v>10.87264</v>
      </c>
      <c r="B29" s="200" t="n">
        <v>160.5</v>
      </c>
      <c r="C29" s="200" t="n">
        <v>8.306856</v>
      </c>
      <c r="D29" s="200" t="n">
        <v>137</v>
      </c>
      <c r="E29" s="200" t="n">
        <v>5.98689</v>
      </c>
      <c r="F29" s="200" t="n">
        <v>70.94</v>
      </c>
      <c r="G29" s="200" t="n">
        <v>4.193145</v>
      </c>
      <c r="H29" s="200" t="n">
        <v>24.8</v>
      </c>
      <c r="I29" s="201"/>
      <c r="J29" s="212"/>
      <c r="K29" s="212"/>
      <c r="L29" s="212"/>
      <c r="M29" s="212"/>
      <c r="N29" s="215"/>
    </row>
    <row r="30" customFormat="false" ht="14.25" hidden="false" customHeight="false" outlineLevel="0" collapsed="false">
      <c r="A30" s="200" t="n">
        <v>11.276704</v>
      </c>
      <c r="B30" s="200" t="n">
        <v>137.6</v>
      </c>
      <c r="C30" s="200" t="n">
        <v>8.762825</v>
      </c>
      <c r="D30" s="200" t="n">
        <v>103.6</v>
      </c>
      <c r="E30" s="200" t="n">
        <v>6.342756</v>
      </c>
      <c r="F30" s="200" t="n">
        <v>45.38</v>
      </c>
      <c r="G30" s="200" t="n">
        <v>4.75938</v>
      </c>
      <c r="H30" s="200" t="n">
        <v>16.08</v>
      </c>
      <c r="I30" s="201"/>
      <c r="J30" s="212"/>
      <c r="K30" s="212"/>
      <c r="L30" s="212"/>
      <c r="M30" s="212"/>
      <c r="N30" s="215"/>
    </row>
    <row r="31" customFormat="false" ht="14.25" hidden="false" customHeight="false" outlineLevel="0" collapsed="false">
      <c r="A31" s="200" t="n">
        <v>11.63392</v>
      </c>
      <c r="B31" s="200" t="n">
        <v>107.1</v>
      </c>
      <c r="C31" s="200" t="n">
        <v>9.148043</v>
      </c>
      <c r="D31" s="200" t="n">
        <v>69.18</v>
      </c>
      <c r="E31" s="200" t="n">
        <v>6.83055</v>
      </c>
      <c r="F31" s="200" t="n">
        <v>30.44</v>
      </c>
      <c r="G31" s="200"/>
      <c r="H31" s="200"/>
      <c r="I31" s="201"/>
      <c r="J31" s="212"/>
      <c r="K31" s="212"/>
      <c r="L31" s="212"/>
      <c r="M31" s="212"/>
      <c r="N31" s="215"/>
    </row>
    <row r="32" customFormat="false" ht="14.25" hidden="false" customHeight="false" outlineLevel="0" collapsed="false">
      <c r="A32" s="200" t="n">
        <v>11.94505</v>
      </c>
      <c r="B32" s="200" t="n">
        <v>80.27</v>
      </c>
      <c r="C32" s="200" t="n">
        <v>9.502605</v>
      </c>
      <c r="D32" s="200" t="n">
        <v>42.12</v>
      </c>
      <c r="E32" s="200" t="n">
        <v>7.238835</v>
      </c>
      <c r="F32" s="200" t="n">
        <v>18.47</v>
      </c>
      <c r="G32" s="200"/>
      <c r="H32" s="200"/>
      <c r="I32" s="201"/>
      <c r="J32" s="212"/>
      <c r="K32" s="212"/>
      <c r="L32" s="212"/>
      <c r="M32" s="212"/>
      <c r="N32" s="215"/>
    </row>
    <row r="33" customFormat="false" ht="14.25" hidden="false" customHeight="false" outlineLevel="0" collapsed="false">
      <c r="A33" s="200" t="n">
        <v>12.931856</v>
      </c>
      <c r="B33" s="200" t="n">
        <v>21.37</v>
      </c>
      <c r="C33" s="200" t="n">
        <v>9.97517</v>
      </c>
      <c r="D33" s="200" t="n">
        <v>25.2</v>
      </c>
      <c r="E33" s="200" t="n">
        <v>8.00703</v>
      </c>
      <c r="F33" s="200" t="n">
        <v>12.7</v>
      </c>
      <c r="G33" s="200"/>
      <c r="H33" s="200"/>
      <c r="I33" s="201"/>
    </row>
    <row r="34" customFormat="false" ht="14.25" hidden="false" customHeight="false" outlineLevel="0" collapsed="false">
      <c r="A34" s="200" t="n">
        <v>14.02908</v>
      </c>
      <c r="B34" s="200" t="n">
        <v>14.93</v>
      </c>
      <c r="C34" s="200" t="n">
        <v>10.426212</v>
      </c>
      <c r="D34" s="200" t="n">
        <v>18.7</v>
      </c>
      <c r="E34" s="200" t="n">
        <v>8.8394</v>
      </c>
      <c r="F34" s="200" t="n">
        <v>7.967</v>
      </c>
      <c r="G34" s="200"/>
      <c r="H34" s="200"/>
      <c r="I34" s="201"/>
    </row>
    <row r="35" customFormat="false" ht="14.25" hidden="false" customHeight="false" outlineLevel="0" collapsed="false">
      <c r="A35" s="200" t="n">
        <v>14.914695</v>
      </c>
      <c r="B35" s="200" t="n">
        <v>12.43</v>
      </c>
      <c r="C35" s="200" t="n">
        <v>11.5087</v>
      </c>
      <c r="D35" s="200" t="n">
        <v>12.24</v>
      </c>
      <c r="E35" s="200" t="n">
        <v>10.00705</v>
      </c>
      <c r="F35" s="200" t="n">
        <v>5.579</v>
      </c>
      <c r="G35" s="200"/>
      <c r="H35" s="200"/>
      <c r="I35" s="201"/>
    </row>
    <row r="36" customFormat="false" ht="14.25" hidden="false" customHeight="false" outlineLevel="0" collapsed="false">
      <c r="A36" s="200" t="n">
        <v>16.083785</v>
      </c>
      <c r="B36" s="200" t="n">
        <v>9.931</v>
      </c>
      <c r="C36" s="200" t="n">
        <v>12.58454</v>
      </c>
      <c r="D36" s="200" t="n">
        <v>9.612</v>
      </c>
      <c r="E36" s="200"/>
      <c r="F36" s="200"/>
      <c r="G36" s="200"/>
      <c r="H36" s="200"/>
      <c r="I36" s="201"/>
    </row>
    <row r="37" customFormat="false" ht="14.25" hidden="false" customHeight="false" outlineLevel="0" collapsed="false">
      <c r="A37" s="200" t="n">
        <v>16.928345</v>
      </c>
      <c r="B37" s="200" t="n">
        <v>8.598</v>
      </c>
      <c r="C37" s="200" t="n">
        <v>14.5837</v>
      </c>
      <c r="D37" s="200" t="n">
        <v>6.348</v>
      </c>
      <c r="E37" s="200"/>
      <c r="F37" s="200"/>
      <c r="G37" s="200"/>
      <c r="H37" s="200"/>
      <c r="I37" s="201"/>
    </row>
    <row r="38" customFormat="false" ht="14.25" hidden="false" customHeight="false" outlineLevel="0" collapsed="false">
      <c r="B38" s="218"/>
      <c r="C38" s="218"/>
      <c r="D38" s="218"/>
    </row>
    <row r="39" customFormat="false" ht="14.25" hidden="false" customHeight="false" outlineLevel="0" collapsed="false">
      <c r="B39" s="218"/>
      <c r="C39" s="218"/>
      <c r="D39" s="218"/>
    </row>
    <row r="40" customFormat="false" ht="14.25" hidden="true" customHeight="false" outlineLevel="0" collapsed="false">
      <c r="B40" s="218"/>
      <c r="C40" s="218"/>
      <c r="D40" s="218"/>
    </row>
    <row r="41" customFormat="false" ht="14.25" hidden="true" customHeight="false" outlineLevel="0" collapsed="false">
      <c r="B41" s="218"/>
      <c r="C41" s="218"/>
      <c r="D41" s="218"/>
    </row>
    <row r="42" customFormat="false" ht="14.25" hidden="true" customHeight="false" outlineLevel="0" collapsed="false">
      <c r="B42" s="218"/>
      <c r="C42" s="218"/>
      <c r="D42" s="218"/>
    </row>
    <row r="43" customFormat="false" ht="14.25" hidden="true" customHeight="false" outlineLevel="0" collapsed="false">
      <c r="B43" s="218"/>
      <c r="C43" s="218"/>
      <c r="D43" s="218"/>
    </row>
    <row r="44" customFormat="false" ht="14.25" hidden="true" customHeight="false" outlineLevel="0" collapsed="false"/>
    <row r="45" customFormat="false" ht="15" hidden="true" customHeight="false" outlineLevel="0" collapsed="false">
      <c r="A45" s="202" t="s">
        <v>190</v>
      </c>
      <c r="B45" s="203"/>
      <c r="C45" s="203"/>
      <c r="D45" s="203"/>
      <c r="K45" s="204" t="s">
        <v>191</v>
      </c>
      <c r="L45" s="199"/>
      <c r="M45" s="205" t="s">
        <v>192</v>
      </c>
      <c r="N45" s="206"/>
      <c r="O45" s="206"/>
      <c r="P45" s="206"/>
      <c r="Q45" s="206"/>
    </row>
    <row r="46" s="199" customFormat="true" ht="16.5" hidden="true" customHeight="true" outlineLevel="0" collapsed="false">
      <c r="A46" s="207" t="s">
        <v>193</v>
      </c>
      <c r="B46" s="207"/>
      <c r="C46" s="207" t="s">
        <v>194</v>
      </c>
      <c r="D46" s="207"/>
      <c r="E46" s="207" t="s">
        <v>195</v>
      </c>
      <c r="F46" s="207"/>
      <c r="G46" s="207" t="s">
        <v>196</v>
      </c>
      <c r="H46" s="207"/>
      <c r="I46" s="208"/>
      <c r="J46" s="203"/>
      <c r="M46" s="209"/>
    </row>
    <row r="47" customFormat="false" ht="16.5" hidden="true" customHeight="true" outlineLevel="0" collapsed="false">
      <c r="A47" s="210" t="s">
        <v>197</v>
      </c>
      <c r="B47" s="210" t="s">
        <v>198</v>
      </c>
      <c r="C47" s="210" t="s">
        <v>197</v>
      </c>
      <c r="D47" s="210" t="s">
        <v>198</v>
      </c>
      <c r="E47" s="210" t="s">
        <v>197</v>
      </c>
      <c r="F47" s="210" t="s">
        <v>198</v>
      </c>
      <c r="G47" s="210" t="s">
        <v>197</v>
      </c>
      <c r="H47" s="210" t="s">
        <v>198</v>
      </c>
      <c r="I47" s="211"/>
      <c r="J47" s="212"/>
      <c r="K47" s="213" t="s">
        <v>199</v>
      </c>
      <c r="L47" s="199" t="s">
        <v>200</v>
      </c>
      <c r="M47" s="214" t="s">
        <v>201</v>
      </c>
    </row>
    <row r="48" s="199" customFormat="true" ht="14.25" hidden="true" customHeight="false" outlineLevel="0" collapsed="false">
      <c r="A48" s="200" t="n">
        <v>4.4367456</v>
      </c>
      <c r="B48" s="200" t="n">
        <v>10220</v>
      </c>
      <c r="C48" s="200" t="n">
        <v>3.012723</v>
      </c>
      <c r="D48" s="200" t="n">
        <v>12550</v>
      </c>
      <c r="E48" s="200" t="n">
        <v>1.6567192</v>
      </c>
      <c r="F48" s="200" t="n">
        <v>12250</v>
      </c>
      <c r="G48" s="200" t="n">
        <v>0.97611999</v>
      </c>
      <c r="H48" s="200" t="n">
        <v>14270</v>
      </c>
      <c r="I48" s="201"/>
      <c r="J48" s="212"/>
      <c r="L48" s="199" t="s">
        <v>202</v>
      </c>
      <c r="M48" s="214" t="s">
        <v>203</v>
      </c>
    </row>
    <row r="49" customFormat="false" ht="14.25" hidden="true" customHeight="false" outlineLevel="0" collapsed="false">
      <c r="A49" s="200" t="n">
        <v>4.8383284</v>
      </c>
      <c r="B49" s="200" t="n">
        <v>6271</v>
      </c>
      <c r="C49" s="200" t="n">
        <v>3.1977792</v>
      </c>
      <c r="D49" s="200" t="n">
        <v>8571</v>
      </c>
      <c r="E49" s="200" t="n">
        <v>1.9570227</v>
      </c>
      <c r="F49" s="200" t="n">
        <v>6781</v>
      </c>
      <c r="G49" s="200" t="n">
        <v>1.15639</v>
      </c>
      <c r="H49" s="200" t="n">
        <v>5134</v>
      </c>
      <c r="I49" s="201"/>
      <c r="J49" s="212"/>
      <c r="K49" s="212"/>
      <c r="L49" s="212"/>
      <c r="M49" s="212"/>
      <c r="N49" s="215"/>
      <c r="Q49" s="209"/>
    </row>
    <row r="50" customFormat="false" ht="14.25" hidden="true" customHeight="false" outlineLevel="0" collapsed="false">
      <c r="A50" s="200" t="n">
        <v>5.0795796</v>
      </c>
      <c r="B50" s="200" t="n">
        <v>5204</v>
      </c>
      <c r="C50" s="200" t="n">
        <v>3.3909884</v>
      </c>
      <c r="D50" s="200" t="n">
        <v>6326</v>
      </c>
      <c r="E50" s="200" t="n">
        <v>2.1441411</v>
      </c>
      <c r="F50" s="200" t="n">
        <v>4497</v>
      </c>
      <c r="G50" s="200" t="n">
        <v>1.3497736</v>
      </c>
      <c r="H50" s="200" t="n">
        <v>2754</v>
      </c>
      <c r="I50" s="201"/>
      <c r="J50" s="212"/>
      <c r="K50" s="212"/>
      <c r="L50" s="212"/>
      <c r="M50" s="212"/>
      <c r="N50" s="215"/>
      <c r="Q50" s="214"/>
    </row>
    <row r="51" customFormat="false" ht="14.25" hidden="true" customHeight="false" outlineLevel="0" collapsed="false">
      <c r="A51" s="200" t="n">
        <v>5.3401159</v>
      </c>
      <c r="B51" s="200" t="n">
        <v>3950</v>
      </c>
      <c r="C51" s="200" t="n">
        <v>3.49866</v>
      </c>
      <c r="D51" s="200" t="n">
        <v>5837</v>
      </c>
      <c r="E51" s="200" t="n">
        <v>2.444288</v>
      </c>
      <c r="F51" s="200" t="n">
        <v>2770</v>
      </c>
      <c r="G51" s="200" t="n">
        <v>1.452135</v>
      </c>
      <c r="H51" s="200" t="n">
        <v>2160</v>
      </c>
      <c r="I51" s="201"/>
      <c r="J51" s="212"/>
      <c r="K51" s="212"/>
      <c r="L51" s="212"/>
      <c r="M51" s="212"/>
      <c r="N51" s="216"/>
      <c r="Q51" s="214"/>
    </row>
    <row r="52" customFormat="false" ht="14.25" hidden="true" customHeight="false" outlineLevel="0" collapsed="false">
      <c r="A52" s="200" t="n">
        <v>5.57766</v>
      </c>
      <c r="B52" s="200" t="n">
        <v>3345</v>
      </c>
      <c r="C52" s="200" t="n">
        <v>3.68478</v>
      </c>
      <c r="D52" s="200" t="n">
        <v>4502</v>
      </c>
      <c r="E52" s="200" t="n">
        <v>2.6650624</v>
      </c>
      <c r="F52" s="200" t="n">
        <v>2009</v>
      </c>
      <c r="G52" s="200" t="n">
        <v>1.5454332</v>
      </c>
      <c r="H52" s="200" t="n">
        <v>1665</v>
      </c>
      <c r="I52" s="201"/>
      <c r="J52" s="212"/>
      <c r="K52" s="212"/>
      <c r="L52" s="212"/>
      <c r="M52" s="212"/>
      <c r="N52" s="216"/>
      <c r="Q52" s="209"/>
    </row>
    <row r="53" customFormat="false" ht="14.25" hidden="true" customHeight="false" outlineLevel="0" collapsed="false">
      <c r="A53" s="200" t="n">
        <v>5.853696</v>
      </c>
      <c r="B53" s="200" t="n">
        <v>2739</v>
      </c>
      <c r="C53" s="200" t="n">
        <v>3.866208</v>
      </c>
      <c r="D53" s="200" t="n">
        <v>3797</v>
      </c>
      <c r="E53" s="200" t="n">
        <v>2.973715</v>
      </c>
      <c r="F53" s="200" t="n">
        <v>1491</v>
      </c>
      <c r="G53" s="200" t="n">
        <v>1.648635</v>
      </c>
      <c r="H53" s="200" t="n">
        <v>1367</v>
      </c>
      <c r="I53" s="201"/>
      <c r="J53" s="212"/>
      <c r="K53" s="212"/>
      <c r="L53" s="212"/>
      <c r="M53" s="212"/>
      <c r="N53" s="215"/>
      <c r="Q53" s="209"/>
    </row>
    <row r="54" customFormat="false" ht="14.25" hidden="true" customHeight="false" outlineLevel="0" collapsed="false">
      <c r="A54" s="200" t="n">
        <v>6.14988</v>
      </c>
      <c r="B54" s="200" t="n">
        <v>2244</v>
      </c>
      <c r="C54" s="200" t="n">
        <v>4.1831832</v>
      </c>
      <c r="D54" s="200" t="n">
        <v>2905</v>
      </c>
      <c r="E54" s="200" t="n">
        <v>3.202235</v>
      </c>
      <c r="F54" s="200" t="n">
        <v>1204</v>
      </c>
      <c r="G54" s="200" t="n">
        <v>1.778325</v>
      </c>
      <c r="H54" s="200" t="n">
        <v>1098</v>
      </c>
      <c r="I54" s="201"/>
      <c r="J54" s="212"/>
      <c r="K54" s="212"/>
      <c r="L54" s="212"/>
      <c r="M54" s="212"/>
      <c r="N54" s="216"/>
      <c r="Q54" s="217"/>
    </row>
    <row r="55" customFormat="false" ht="14.25" hidden="true" customHeight="false" outlineLevel="0" collapsed="false">
      <c r="A55" s="200" t="n">
        <v>6.4918947</v>
      </c>
      <c r="B55" s="200" t="n">
        <v>1841</v>
      </c>
      <c r="C55" s="200" t="n">
        <v>4.4606718</v>
      </c>
      <c r="D55" s="200" t="n">
        <v>2289</v>
      </c>
      <c r="E55" s="200" t="n">
        <v>3.47311</v>
      </c>
      <c r="F55" s="200" t="n">
        <v>966.9</v>
      </c>
      <c r="G55" s="200" t="n">
        <v>1.8389562</v>
      </c>
      <c r="H55" s="200" t="n">
        <v>884.8</v>
      </c>
      <c r="I55" s="201"/>
      <c r="J55" s="212"/>
      <c r="K55" s="212"/>
      <c r="L55" s="212"/>
      <c r="M55" s="212"/>
      <c r="N55" s="216"/>
      <c r="Q55" s="217"/>
    </row>
    <row r="56" customFormat="false" ht="14.25" hidden="true" customHeight="false" outlineLevel="0" collapsed="false">
      <c r="A56" s="200" t="n">
        <v>6.86862</v>
      </c>
      <c r="B56" s="200" t="n">
        <v>1446</v>
      </c>
      <c r="C56" s="200" t="n">
        <v>4.6364832</v>
      </c>
      <c r="D56" s="200" t="n">
        <v>2062</v>
      </c>
      <c r="E56" s="200" t="n">
        <v>3.669125</v>
      </c>
      <c r="F56" s="200" t="n">
        <v>779.8</v>
      </c>
      <c r="G56" s="200" t="n">
        <v>1.9777725</v>
      </c>
      <c r="H56" s="200" t="n">
        <v>733.5</v>
      </c>
      <c r="I56" s="201"/>
      <c r="J56" s="212"/>
      <c r="K56" s="212"/>
      <c r="L56" s="212"/>
      <c r="M56" s="212"/>
      <c r="N56" s="216"/>
    </row>
    <row r="57" customFormat="false" ht="14.25" hidden="true" customHeight="false" outlineLevel="0" collapsed="false">
      <c r="A57" s="200" t="n">
        <v>7.347135</v>
      </c>
      <c r="B57" s="200" t="n">
        <v>1263</v>
      </c>
      <c r="C57" s="200" t="n">
        <v>4.8787314</v>
      </c>
      <c r="D57" s="200" t="n">
        <v>1568</v>
      </c>
      <c r="E57" s="200" t="n">
        <v>3.9422411</v>
      </c>
      <c r="F57" s="200" t="n">
        <v>588.5</v>
      </c>
      <c r="G57" s="200" t="n">
        <v>2.0649962</v>
      </c>
      <c r="H57" s="200" t="n">
        <v>617.8</v>
      </c>
      <c r="I57" s="201"/>
      <c r="J57" s="212"/>
      <c r="K57" s="212"/>
      <c r="L57" s="212"/>
      <c r="M57" s="212"/>
      <c r="N57" s="216"/>
    </row>
    <row r="58" customFormat="false" ht="14.25" hidden="true" customHeight="false" outlineLevel="0" collapsed="false">
      <c r="A58" s="200" t="n">
        <v>7.978908</v>
      </c>
      <c r="B58" s="200" t="n">
        <v>850.1</v>
      </c>
      <c r="C58" s="200" t="n">
        <v>5.078528</v>
      </c>
      <c r="D58" s="200" t="n">
        <v>1367</v>
      </c>
      <c r="E58" s="200" t="n">
        <v>4.149805</v>
      </c>
      <c r="F58" s="200" t="n">
        <v>500.9</v>
      </c>
      <c r="G58" s="200" t="n">
        <v>2.1860625</v>
      </c>
      <c r="H58" s="200" t="n">
        <v>504.9</v>
      </c>
      <c r="I58" s="201"/>
      <c r="J58" s="212"/>
      <c r="K58" s="212"/>
      <c r="L58" s="212"/>
      <c r="M58" s="212"/>
      <c r="N58" s="216"/>
    </row>
    <row r="59" customFormat="false" ht="14.25" hidden="true" customHeight="false" outlineLevel="0" collapsed="false">
      <c r="A59" s="200" t="n">
        <v>8.359601</v>
      </c>
      <c r="B59" s="200" t="n">
        <v>703.1</v>
      </c>
      <c r="C59" s="200" t="n">
        <v>5.3720238</v>
      </c>
      <c r="D59" s="200" t="n">
        <v>1070</v>
      </c>
      <c r="E59" s="200" t="n">
        <v>4.4162782</v>
      </c>
      <c r="F59" s="200" t="n">
        <v>395.4</v>
      </c>
      <c r="G59" s="200" t="n">
        <v>2.25792</v>
      </c>
      <c r="H59" s="200" t="n">
        <v>423.1</v>
      </c>
      <c r="I59" s="201"/>
      <c r="J59" s="212"/>
      <c r="K59" s="212"/>
      <c r="L59" s="212"/>
      <c r="M59" s="212"/>
      <c r="N59" s="216"/>
    </row>
    <row r="60" customFormat="false" ht="14.25" hidden="true" customHeight="false" outlineLevel="0" collapsed="false">
      <c r="A60" s="200" t="n">
        <v>8.887488</v>
      </c>
      <c r="B60" s="200" t="n">
        <v>507.4</v>
      </c>
      <c r="C60" s="200" t="n">
        <v>5.5653324</v>
      </c>
      <c r="D60" s="200" t="n">
        <v>909</v>
      </c>
      <c r="E60" s="200" t="n">
        <v>4.60192</v>
      </c>
      <c r="F60" s="200" t="n">
        <v>331.9</v>
      </c>
      <c r="G60" s="200" t="n">
        <v>2.3589825</v>
      </c>
      <c r="H60" s="200" t="n">
        <v>362.5</v>
      </c>
      <c r="I60" s="201"/>
      <c r="J60" s="212"/>
      <c r="K60" s="212"/>
      <c r="L60" s="212"/>
      <c r="M60" s="212"/>
      <c r="N60" s="215"/>
    </row>
    <row r="61" customFormat="false" ht="14.25" hidden="true" customHeight="false" outlineLevel="0" collapsed="false">
      <c r="A61" s="200" t="n">
        <v>9.237586</v>
      </c>
      <c r="B61" s="200" t="n">
        <v>405.6</v>
      </c>
      <c r="C61" s="200" t="n">
        <v>5.8613802</v>
      </c>
      <c r="D61" s="200" t="n">
        <v>722.5</v>
      </c>
      <c r="E61" s="200" t="n">
        <v>4.886585</v>
      </c>
      <c r="F61" s="200" t="n">
        <v>240.2</v>
      </c>
      <c r="G61" s="200" t="n">
        <v>2.4408175</v>
      </c>
      <c r="H61" s="200" t="n">
        <v>302.3</v>
      </c>
      <c r="I61" s="201"/>
      <c r="J61" s="212"/>
      <c r="K61" s="212"/>
      <c r="L61" s="212"/>
      <c r="M61" s="212"/>
      <c r="N61" s="215"/>
    </row>
    <row r="62" customFormat="false" ht="14.25" hidden="true" customHeight="false" outlineLevel="0" collapsed="false">
      <c r="A62" s="200" t="n">
        <v>9.72786</v>
      </c>
      <c r="B62" s="200" t="n">
        <v>296.2</v>
      </c>
      <c r="C62" s="200" t="n">
        <v>6.06584</v>
      </c>
      <c r="D62" s="200" t="n">
        <v>646.4</v>
      </c>
      <c r="E62" s="200" t="n">
        <v>5.0350884</v>
      </c>
      <c r="F62" s="200" t="n">
        <v>191</v>
      </c>
      <c r="G62" s="200" t="n">
        <v>2.676245</v>
      </c>
      <c r="H62" s="200" t="n">
        <v>226.1</v>
      </c>
      <c r="I62" s="201"/>
      <c r="J62" s="212"/>
      <c r="K62" s="212"/>
      <c r="L62" s="212"/>
      <c r="M62" s="212"/>
      <c r="N62" s="215"/>
    </row>
    <row r="63" customFormat="false" ht="14.25" hidden="true" customHeight="false" outlineLevel="0" collapsed="false">
      <c r="A63" s="200" t="n">
        <v>10.18705</v>
      </c>
      <c r="B63" s="200" t="n">
        <v>234.5</v>
      </c>
      <c r="C63" s="200" t="n">
        <v>6.3667641</v>
      </c>
      <c r="D63" s="200" t="n">
        <v>517.2</v>
      </c>
      <c r="E63" s="200" t="n">
        <v>5.3552125</v>
      </c>
      <c r="F63" s="200" t="n">
        <v>141.1</v>
      </c>
      <c r="G63" s="200" t="n">
        <v>2.9654886</v>
      </c>
      <c r="H63" s="200" t="n">
        <v>150</v>
      </c>
      <c r="I63" s="201"/>
      <c r="J63" s="212"/>
      <c r="K63" s="212"/>
      <c r="L63" s="212"/>
      <c r="M63" s="212"/>
      <c r="N63" s="216"/>
    </row>
    <row r="64" customFormat="false" ht="14.25" hidden="true" customHeight="false" outlineLevel="0" collapsed="false">
      <c r="A64" s="200" t="n">
        <v>10.73215</v>
      </c>
      <c r="B64" s="200" t="n">
        <v>179.5</v>
      </c>
      <c r="C64" s="200" t="n">
        <v>6.5465452</v>
      </c>
      <c r="D64" s="200" t="n">
        <v>452</v>
      </c>
      <c r="E64" s="200" t="n">
        <v>5.5645625</v>
      </c>
      <c r="F64" s="200" t="n">
        <v>114.7</v>
      </c>
      <c r="G64" s="200" t="n">
        <v>3.1980567</v>
      </c>
      <c r="H64" s="200" t="n">
        <v>116.6</v>
      </c>
      <c r="I64" s="201"/>
      <c r="J64" s="212"/>
      <c r="K64" s="212"/>
      <c r="L64" s="212"/>
      <c r="M64" s="212"/>
      <c r="N64" s="215"/>
    </row>
    <row r="65" customFormat="false" ht="14.25" hidden="true" customHeight="false" outlineLevel="0" collapsed="false">
      <c r="A65" s="200" t="n">
        <v>11.16005</v>
      </c>
      <c r="B65" s="200" t="n">
        <v>149.7</v>
      </c>
      <c r="C65" s="200" t="n">
        <v>6.8925948</v>
      </c>
      <c r="D65" s="200" t="n">
        <v>371.1</v>
      </c>
      <c r="E65" s="200" t="n">
        <v>5.8556736</v>
      </c>
      <c r="F65" s="200" t="n">
        <v>83.57</v>
      </c>
      <c r="G65" s="200" t="n">
        <v>3.47998</v>
      </c>
      <c r="H65" s="200" t="n">
        <v>81.76</v>
      </c>
      <c r="I65" s="201"/>
      <c r="J65" s="212"/>
      <c r="K65" s="212"/>
      <c r="L65" s="212"/>
      <c r="M65" s="212"/>
      <c r="N65" s="215"/>
    </row>
    <row r="66" customFormat="false" ht="14.25" hidden="true" customHeight="false" outlineLevel="0" collapsed="false">
      <c r="A66" s="200" t="n">
        <v>11.73935</v>
      </c>
      <c r="B66" s="200" t="n">
        <v>113</v>
      </c>
      <c r="C66" s="200" t="n">
        <v>6.893764</v>
      </c>
      <c r="D66" s="200" t="n">
        <v>416.9</v>
      </c>
      <c r="E66" s="200" t="n">
        <v>6.2304571</v>
      </c>
      <c r="F66" s="200" t="n">
        <v>68.45</v>
      </c>
      <c r="G66" s="200" t="n">
        <v>3.670062</v>
      </c>
      <c r="H66" s="200" t="n">
        <v>65.91</v>
      </c>
      <c r="I66" s="201"/>
      <c r="J66" s="212"/>
      <c r="K66" s="212"/>
      <c r="L66" s="212"/>
      <c r="M66" s="212"/>
      <c r="N66" s="215"/>
    </row>
    <row r="67" customFormat="false" ht="14.25" hidden="true" customHeight="false" outlineLevel="0" collapsed="false">
      <c r="A67" s="200" t="n">
        <v>12.100409</v>
      </c>
      <c r="B67" s="200" t="n">
        <v>94.19</v>
      </c>
      <c r="C67" s="200" t="n">
        <v>7.289145</v>
      </c>
      <c r="D67" s="200" t="n">
        <v>317.5</v>
      </c>
      <c r="E67" s="200" t="n">
        <v>6.3407375</v>
      </c>
      <c r="F67" s="200" t="n">
        <v>51.5</v>
      </c>
      <c r="G67" s="200" t="n">
        <v>3.9801528</v>
      </c>
      <c r="H67" s="200" t="n">
        <v>47.85</v>
      </c>
      <c r="I67" s="201"/>
      <c r="J67" s="212"/>
      <c r="K67" s="212"/>
      <c r="L67" s="212"/>
      <c r="M67" s="212"/>
      <c r="N67" s="215"/>
    </row>
    <row r="68" customFormat="false" ht="14.25" hidden="true" customHeight="false" outlineLevel="0" collapsed="false">
      <c r="A68" s="200" t="n">
        <v>12.70059</v>
      </c>
      <c r="B68" s="200" t="n">
        <v>72.34</v>
      </c>
      <c r="C68" s="200" t="n">
        <v>7.86384</v>
      </c>
      <c r="D68" s="200" t="n">
        <v>209.2</v>
      </c>
      <c r="E68" s="200" t="n">
        <v>6.8780928</v>
      </c>
      <c r="F68" s="200" t="n">
        <v>31.81</v>
      </c>
      <c r="G68" s="200" t="n">
        <v>4.1687475</v>
      </c>
      <c r="H68" s="200" t="n">
        <v>39.37</v>
      </c>
      <c r="I68" s="201"/>
      <c r="J68" s="212"/>
      <c r="K68" s="212"/>
      <c r="L68" s="212"/>
      <c r="M68" s="212"/>
      <c r="N68" s="215"/>
    </row>
    <row r="69" customFormat="false" ht="14.25" hidden="true" customHeight="false" outlineLevel="0" collapsed="false">
      <c r="A69" s="200" t="n">
        <v>13.185559</v>
      </c>
      <c r="B69" s="200" t="n">
        <v>60.27</v>
      </c>
      <c r="C69" s="200" t="n">
        <v>8.232491</v>
      </c>
      <c r="D69" s="200" t="n">
        <v>161.6</v>
      </c>
      <c r="E69" s="200" t="n">
        <v>7.8950625</v>
      </c>
      <c r="F69" s="200" t="n">
        <v>14.17</v>
      </c>
      <c r="G69" s="200" t="n">
        <v>4.4374386</v>
      </c>
      <c r="H69" s="200" t="n">
        <v>30.12</v>
      </c>
      <c r="I69" s="201"/>
      <c r="J69" s="212"/>
      <c r="K69" s="212"/>
      <c r="L69" s="212"/>
      <c r="M69" s="212"/>
      <c r="N69" s="215"/>
    </row>
    <row r="70" customFormat="false" ht="14.25" hidden="true" customHeight="false" outlineLevel="0" collapsed="false">
      <c r="A70" s="200" t="n">
        <v>13.743918</v>
      </c>
      <c r="B70" s="200" t="n">
        <v>46.93</v>
      </c>
      <c r="C70" s="200" t="n">
        <v>8.713964</v>
      </c>
      <c r="D70" s="200" t="n">
        <v>108.8</v>
      </c>
      <c r="E70" s="200" t="n">
        <v>10.026432</v>
      </c>
      <c r="F70" s="200" t="n">
        <v>5.922</v>
      </c>
      <c r="G70" s="200" t="n">
        <v>4.877061</v>
      </c>
      <c r="H70" s="200" t="n">
        <v>19.69</v>
      </c>
      <c r="I70" s="201"/>
    </row>
    <row r="71" customFormat="false" ht="14.25" hidden="true" customHeight="false" outlineLevel="0" collapsed="false">
      <c r="A71" s="200" t="n">
        <v>14.74545</v>
      </c>
      <c r="B71" s="200" t="n">
        <v>37.35</v>
      </c>
      <c r="C71" s="200" t="n">
        <v>9.120228</v>
      </c>
      <c r="D71" s="200" t="n">
        <v>84.24</v>
      </c>
      <c r="E71" s="200"/>
      <c r="F71" s="200"/>
      <c r="G71" s="200" t="n">
        <v>5.3843374</v>
      </c>
      <c r="H71" s="200" t="n">
        <v>11.66</v>
      </c>
      <c r="I71" s="201"/>
    </row>
    <row r="72" customFormat="false" ht="14.25" hidden="true" customHeight="false" outlineLevel="0" collapsed="false">
      <c r="A72" s="200" t="n">
        <v>15.70878</v>
      </c>
      <c r="B72" s="200" t="n">
        <v>26.15</v>
      </c>
      <c r="C72" s="200" t="n">
        <v>9.73443</v>
      </c>
      <c r="D72" s="200" t="n">
        <v>59.31</v>
      </c>
      <c r="E72" s="200"/>
      <c r="F72" s="200"/>
      <c r="G72" s="200" t="n">
        <v>5.8052628</v>
      </c>
      <c r="H72" s="200" t="n">
        <v>8.352</v>
      </c>
      <c r="I72" s="201"/>
    </row>
    <row r="73" customFormat="false" ht="14.25" hidden="true" customHeight="false" outlineLevel="0" collapsed="false">
      <c r="A73" s="200" t="n">
        <v>17.77728</v>
      </c>
      <c r="B73" s="200" t="n">
        <v>14.53</v>
      </c>
      <c r="C73" s="200" t="n">
        <v>10.082848</v>
      </c>
      <c r="D73" s="200" t="n">
        <v>47.06</v>
      </c>
      <c r="E73" s="200"/>
      <c r="F73" s="200"/>
      <c r="G73" s="200"/>
      <c r="H73" s="200"/>
      <c r="I73" s="201"/>
    </row>
    <row r="74" customFormat="false" ht="14.25" hidden="true" customHeight="false" outlineLevel="0" collapsed="false">
      <c r="A74" s="200" t="n">
        <v>19.7784</v>
      </c>
      <c r="B74" s="200" t="n">
        <v>9.622</v>
      </c>
      <c r="C74" s="200" t="n">
        <v>13.478809</v>
      </c>
      <c r="D74" s="200" t="n">
        <v>9.963</v>
      </c>
      <c r="E74" s="200"/>
      <c r="F74" s="200"/>
      <c r="G74" s="200"/>
      <c r="H74" s="200"/>
      <c r="I74" s="201"/>
    </row>
    <row r="75" customFormat="false" ht="14.25" hidden="true" customHeight="false" outlineLevel="0" collapsed="false">
      <c r="B75" s="218"/>
      <c r="C75" s="218"/>
      <c r="D75" s="218"/>
    </row>
    <row r="76" customFormat="false" ht="14.25" hidden="true" customHeight="false" outlineLevel="0" collapsed="false">
      <c r="B76" s="218"/>
      <c r="C76" s="218"/>
      <c r="D76" s="218"/>
    </row>
    <row r="77" customFormat="false" ht="14.25" hidden="true" customHeight="false" outlineLevel="0" collapsed="false">
      <c r="B77" s="218"/>
      <c r="C77" s="218"/>
      <c r="D77" s="218"/>
    </row>
    <row r="78" customFormat="false" ht="14.25" hidden="true" customHeight="false" outlineLevel="0" collapsed="false">
      <c r="B78" s="218"/>
      <c r="C78" s="218"/>
      <c r="D78" s="218"/>
    </row>
    <row r="79" customFormat="false" ht="14.25" hidden="true" customHeight="false" outlineLevel="0" collapsed="false">
      <c r="B79" s="218"/>
      <c r="C79" s="218"/>
      <c r="D79" s="218"/>
    </row>
    <row r="80" customFormat="false" ht="14.25" hidden="false" customHeight="false" outlineLevel="0" collapsed="false">
      <c r="B80" s="218"/>
      <c r="C80" s="218"/>
      <c r="D80" s="218"/>
    </row>
    <row r="81" customFormat="false" ht="14.25" hidden="false" customHeight="false" outlineLevel="0" collapsed="false">
      <c r="B81" s="218"/>
      <c r="C81" s="218"/>
      <c r="D81" s="218"/>
    </row>
    <row r="82" customFormat="false" ht="14.25" hidden="false" customHeight="false" outlineLevel="0" collapsed="false">
      <c r="B82" s="218"/>
      <c r="C82" s="218"/>
      <c r="D82" s="218"/>
    </row>
    <row r="83" customFormat="false" ht="14.25" hidden="false" customHeight="false" outlineLevel="0" collapsed="false">
      <c r="B83" s="218"/>
      <c r="C83" s="218"/>
      <c r="D83" s="218"/>
    </row>
    <row r="84" customFormat="false" ht="14.25" hidden="false" customHeight="false" outlineLevel="0" collapsed="false">
      <c r="B84" s="218"/>
      <c r="C84" s="218"/>
      <c r="D84" s="218"/>
    </row>
    <row r="85" customFormat="false" ht="14.25" hidden="false" customHeight="false" outlineLevel="0" collapsed="false">
      <c r="B85" s="218"/>
      <c r="C85" s="218"/>
      <c r="D85" s="218"/>
    </row>
    <row r="86" customFormat="false" ht="14.25" hidden="false" customHeight="false" outlineLevel="0" collapsed="false">
      <c r="B86" s="218"/>
      <c r="C86" s="218"/>
      <c r="D86" s="218"/>
    </row>
    <row r="87" customFormat="false" ht="14.25" hidden="false" customHeight="false" outlineLevel="0" collapsed="false">
      <c r="B87" s="218"/>
      <c r="C87" s="218"/>
      <c r="D87" s="218"/>
    </row>
    <row r="88" customFormat="false" ht="14.25" hidden="false" customHeight="false" outlineLevel="0" collapsed="false">
      <c r="B88" s="218"/>
      <c r="C88" s="218"/>
      <c r="D88" s="218"/>
    </row>
    <row r="89" customFormat="false" ht="14.25" hidden="false" customHeight="false" outlineLevel="0" collapsed="false">
      <c r="B89" s="218"/>
      <c r="C89" s="218"/>
      <c r="D89" s="218"/>
    </row>
    <row r="90" customFormat="false" ht="14.25" hidden="false" customHeight="false" outlineLevel="0" collapsed="false">
      <c r="B90" s="218"/>
      <c r="C90" s="218"/>
      <c r="D90" s="218"/>
    </row>
    <row r="91" customFormat="false" ht="14.25" hidden="false" customHeight="false" outlineLevel="0" collapsed="false">
      <c r="B91" s="218"/>
      <c r="C91" s="218"/>
      <c r="D91" s="218"/>
    </row>
    <row r="92" customFormat="false" ht="14.25" hidden="false" customHeight="false" outlineLevel="0" collapsed="false">
      <c r="B92" s="218"/>
      <c r="C92" s="218"/>
      <c r="D92" s="218"/>
    </row>
    <row r="93" customFormat="false" ht="14.25" hidden="false" customHeight="false" outlineLevel="0" collapsed="false">
      <c r="B93" s="218"/>
      <c r="C93" s="218"/>
      <c r="D93" s="218"/>
    </row>
    <row r="94" customFormat="false" ht="14.25" hidden="false" customHeight="false" outlineLevel="0" collapsed="false">
      <c r="B94" s="218"/>
      <c r="C94" s="218"/>
      <c r="D94" s="218"/>
    </row>
    <row r="95" customFormat="false" ht="14.25" hidden="false" customHeight="false" outlineLevel="0" collapsed="false">
      <c r="B95" s="218"/>
      <c r="C95" s="218"/>
      <c r="D95" s="218"/>
    </row>
    <row r="96" customFormat="false" ht="14.25" hidden="false" customHeight="false" outlineLevel="0" collapsed="false">
      <c r="B96" s="218"/>
      <c r="C96" s="218"/>
      <c r="D96" s="218"/>
    </row>
    <row r="97" customFormat="false" ht="14.25" hidden="false" customHeight="false" outlineLevel="0" collapsed="false">
      <c r="B97" s="218"/>
      <c r="C97" s="218"/>
      <c r="D97" s="218"/>
    </row>
    <row r="98" customFormat="false" ht="14.25" hidden="false" customHeight="false" outlineLevel="0" collapsed="false">
      <c r="B98" s="218"/>
      <c r="C98" s="218"/>
      <c r="D98" s="218"/>
    </row>
    <row r="99" customFormat="false" ht="14.25" hidden="false" customHeight="false" outlineLevel="0" collapsed="false">
      <c r="B99" s="218"/>
      <c r="C99" s="218"/>
      <c r="D99" s="218"/>
    </row>
    <row r="100" customFormat="false" ht="14.25" hidden="false" customHeight="false" outlineLevel="0" collapsed="false">
      <c r="A100" s="218"/>
      <c r="B100" s="218"/>
      <c r="C100" s="218"/>
      <c r="D100" s="218"/>
    </row>
    <row r="101" customFormat="false" ht="14.25" hidden="false" customHeight="false" outlineLevel="0" collapsed="false">
      <c r="A101" s="218"/>
      <c r="B101" s="218"/>
      <c r="C101" s="218"/>
      <c r="D101" s="218"/>
    </row>
  </sheetData>
  <sheetProtection sheet="true" password="ddfc" objects="true" scenarios="true"/>
  <mergeCells count="8">
    <mergeCell ref="A9:B9"/>
    <mergeCell ref="C9:D9"/>
    <mergeCell ref="E9:F9"/>
    <mergeCell ref="G9:H9"/>
    <mergeCell ref="A46:B46"/>
    <mergeCell ref="C46:D46"/>
    <mergeCell ref="E46:F46"/>
    <mergeCell ref="G46:H4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9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E15" activeCellId="0" sqref="E15"/>
    </sheetView>
  </sheetViews>
  <sheetFormatPr defaultColWidth="8.54296875" defaultRowHeight="14.25" zeroHeight="false" outlineLevelRow="0" outlineLevelCol="0"/>
  <cols>
    <col collapsed="false" customWidth="true" hidden="false" outlineLevel="0" max="6" min="1" style="199" width="18.67"/>
    <col collapsed="false" customWidth="true" hidden="false" outlineLevel="0" max="262" min="257" style="199" width="18.67"/>
    <col collapsed="false" customWidth="true" hidden="false" outlineLevel="0" max="518" min="513" style="199" width="18.67"/>
    <col collapsed="false" customWidth="true" hidden="false" outlineLevel="0" max="774" min="769" style="199" width="18.67"/>
    <col collapsed="false" customWidth="true" hidden="false" outlineLevel="0" max="1030" min="1025" style="199" width="18.67"/>
    <col collapsed="false" customWidth="true" hidden="false" outlineLevel="0" max="1286" min="1281" style="199" width="18.67"/>
    <col collapsed="false" customWidth="true" hidden="false" outlineLevel="0" max="1542" min="1537" style="199" width="18.67"/>
    <col collapsed="false" customWidth="true" hidden="false" outlineLevel="0" max="1798" min="1793" style="199" width="18.67"/>
    <col collapsed="false" customWidth="true" hidden="false" outlineLevel="0" max="2054" min="2049" style="199" width="18.67"/>
    <col collapsed="false" customWidth="true" hidden="false" outlineLevel="0" max="2310" min="2305" style="199" width="18.67"/>
    <col collapsed="false" customWidth="true" hidden="false" outlineLevel="0" max="2566" min="2561" style="199" width="18.67"/>
    <col collapsed="false" customWidth="true" hidden="false" outlineLevel="0" max="2822" min="2817" style="199" width="18.67"/>
    <col collapsed="false" customWidth="true" hidden="false" outlineLevel="0" max="3078" min="3073" style="199" width="18.67"/>
    <col collapsed="false" customWidth="true" hidden="false" outlineLevel="0" max="3334" min="3329" style="199" width="18.67"/>
    <col collapsed="false" customWidth="true" hidden="false" outlineLevel="0" max="3590" min="3585" style="199" width="18.67"/>
    <col collapsed="false" customWidth="true" hidden="false" outlineLevel="0" max="3846" min="3841" style="199" width="18.67"/>
    <col collapsed="false" customWidth="true" hidden="false" outlineLevel="0" max="4102" min="4097" style="199" width="18.67"/>
    <col collapsed="false" customWidth="true" hidden="false" outlineLevel="0" max="4358" min="4353" style="199" width="18.67"/>
    <col collapsed="false" customWidth="true" hidden="false" outlineLevel="0" max="4614" min="4609" style="199" width="18.67"/>
    <col collapsed="false" customWidth="true" hidden="false" outlineLevel="0" max="4870" min="4865" style="199" width="18.67"/>
    <col collapsed="false" customWidth="true" hidden="false" outlineLevel="0" max="5126" min="5121" style="199" width="18.67"/>
    <col collapsed="false" customWidth="true" hidden="false" outlineLevel="0" max="5382" min="5377" style="199" width="18.67"/>
    <col collapsed="false" customWidth="true" hidden="false" outlineLevel="0" max="5638" min="5633" style="199" width="18.67"/>
    <col collapsed="false" customWidth="true" hidden="false" outlineLevel="0" max="5894" min="5889" style="199" width="18.67"/>
    <col collapsed="false" customWidth="true" hidden="false" outlineLevel="0" max="6150" min="6145" style="199" width="18.67"/>
    <col collapsed="false" customWidth="true" hidden="false" outlineLevel="0" max="6406" min="6401" style="199" width="18.67"/>
    <col collapsed="false" customWidth="true" hidden="false" outlineLevel="0" max="6662" min="6657" style="199" width="18.67"/>
    <col collapsed="false" customWidth="true" hidden="false" outlineLevel="0" max="6918" min="6913" style="199" width="18.67"/>
    <col collapsed="false" customWidth="true" hidden="false" outlineLevel="0" max="7174" min="7169" style="199" width="18.67"/>
    <col collapsed="false" customWidth="true" hidden="false" outlineLevel="0" max="7430" min="7425" style="199" width="18.67"/>
    <col collapsed="false" customWidth="true" hidden="false" outlineLevel="0" max="7686" min="7681" style="199" width="18.67"/>
    <col collapsed="false" customWidth="true" hidden="false" outlineLevel="0" max="7942" min="7937" style="199" width="18.67"/>
    <col collapsed="false" customWidth="true" hidden="false" outlineLevel="0" max="8198" min="8193" style="199" width="18.67"/>
    <col collapsed="false" customWidth="true" hidden="false" outlineLevel="0" max="8454" min="8449" style="199" width="18.67"/>
    <col collapsed="false" customWidth="true" hidden="false" outlineLevel="0" max="8710" min="8705" style="199" width="18.67"/>
    <col collapsed="false" customWidth="true" hidden="false" outlineLevel="0" max="8966" min="8961" style="199" width="18.67"/>
    <col collapsed="false" customWidth="true" hidden="false" outlineLevel="0" max="9222" min="9217" style="199" width="18.67"/>
    <col collapsed="false" customWidth="true" hidden="false" outlineLevel="0" max="9478" min="9473" style="199" width="18.67"/>
    <col collapsed="false" customWidth="true" hidden="false" outlineLevel="0" max="9734" min="9729" style="199" width="18.67"/>
    <col collapsed="false" customWidth="true" hidden="false" outlineLevel="0" max="9990" min="9985" style="199" width="18.67"/>
    <col collapsed="false" customWidth="true" hidden="false" outlineLevel="0" max="10246" min="10241" style="199" width="18.67"/>
    <col collapsed="false" customWidth="true" hidden="false" outlineLevel="0" max="10502" min="10497" style="199" width="18.67"/>
    <col collapsed="false" customWidth="true" hidden="false" outlineLevel="0" max="10758" min="10753" style="199" width="18.67"/>
    <col collapsed="false" customWidth="true" hidden="false" outlineLevel="0" max="11014" min="11009" style="199" width="18.67"/>
    <col collapsed="false" customWidth="true" hidden="false" outlineLevel="0" max="11270" min="11265" style="199" width="18.67"/>
    <col collapsed="false" customWidth="true" hidden="false" outlineLevel="0" max="11526" min="11521" style="199" width="18.67"/>
    <col collapsed="false" customWidth="true" hidden="false" outlineLevel="0" max="11782" min="11777" style="199" width="18.67"/>
    <col collapsed="false" customWidth="true" hidden="false" outlineLevel="0" max="12038" min="12033" style="199" width="18.67"/>
    <col collapsed="false" customWidth="true" hidden="false" outlineLevel="0" max="12294" min="12289" style="199" width="18.67"/>
    <col collapsed="false" customWidth="true" hidden="false" outlineLevel="0" max="12550" min="12545" style="199" width="18.67"/>
    <col collapsed="false" customWidth="true" hidden="false" outlineLevel="0" max="12806" min="12801" style="199" width="18.67"/>
    <col collapsed="false" customWidth="true" hidden="false" outlineLevel="0" max="13062" min="13057" style="199" width="18.67"/>
    <col collapsed="false" customWidth="true" hidden="false" outlineLevel="0" max="13318" min="13313" style="199" width="18.67"/>
    <col collapsed="false" customWidth="true" hidden="false" outlineLevel="0" max="13574" min="13569" style="199" width="18.67"/>
    <col collapsed="false" customWidth="true" hidden="false" outlineLevel="0" max="13830" min="13825" style="199" width="18.67"/>
    <col collapsed="false" customWidth="true" hidden="false" outlineLevel="0" max="14086" min="14081" style="199" width="18.67"/>
    <col collapsed="false" customWidth="true" hidden="false" outlineLevel="0" max="14342" min="14337" style="199" width="18.67"/>
    <col collapsed="false" customWidth="true" hidden="false" outlineLevel="0" max="14598" min="14593" style="199" width="18.67"/>
    <col collapsed="false" customWidth="true" hidden="false" outlineLevel="0" max="14854" min="14849" style="199" width="18.67"/>
    <col collapsed="false" customWidth="true" hidden="false" outlineLevel="0" max="15110" min="15105" style="199" width="18.67"/>
    <col collapsed="false" customWidth="true" hidden="false" outlineLevel="0" max="15366" min="15361" style="199" width="18.67"/>
    <col collapsed="false" customWidth="true" hidden="false" outlineLevel="0" max="15622" min="15617" style="199" width="18.67"/>
    <col collapsed="false" customWidth="true" hidden="false" outlineLevel="0" max="15878" min="15873" style="199" width="18.67"/>
    <col collapsed="false" customWidth="true" hidden="false" outlineLevel="0" max="16134" min="16129" style="199" width="18.67"/>
  </cols>
  <sheetData>
    <row r="1" customFormat="false" ht="21" hidden="false" customHeight="false" outlineLevel="0" collapsed="false">
      <c r="A1" s="219" t="s">
        <v>204</v>
      </c>
      <c r="B1" s="219"/>
      <c r="C1" s="219"/>
      <c r="D1" s="219"/>
      <c r="E1" s="219"/>
      <c r="F1" s="219"/>
    </row>
    <row r="3" customFormat="false" ht="14.25" hidden="false" customHeight="false" outlineLevel="0" collapsed="false">
      <c r="A3" s="220" t="n">
        <v>0.2</v>
      </c>
      <c r="B3" s="220" t="n">
        <v>0.1</v>
      </c>
      <c r="C3" s="220" t="n">
        <v>0.05</v>
      </c>
      <c r="D3" s="220" t="n">
        <v>0.02</v>
      </c>
      <c r="E3" s="220" t="n">
        <v>0.01</v>
      </c>
      <c r="F3" s="198" t="s">
        <v>205</v>
      </c>
    </row>
    <row r="4" customFormat="false" ht="14.25" hidden="false" customHeight="false" outlineLevel="0" collapsed="false">
      <c r="A4" s="221" t="s">
        <v>206</v>
      </c>
      <c r="B4" s="221" t="s">
        <v>207</v>
      </c>
      <c r="C4" s="221" t="s">
        <v>208</v>
      </c>
      <c r="D4" s="221" t="s">
        <v>209</v>
      </c>
      <c r="E4" s="221" t="s">
        <v>210</v>
      </c>
      <c r="F4" s="221" t="s">
        <v>211</v>
      </c>
    </row>
    <row r="5" customFormat="false" ht="14.25" hidden="false" customHeight="false" outlineLevel="0" collapsed="false">
      <c r="A5" s="222" t="n">
        <v>100</v>
      </c>
      <c r="B5" s="223" t="n">
        <v>100</v>
      </c>
      <c r="C5" s="224" t="n">
        <v>100</v>
      </c>
      <c r="D5" s="225" t="n">
        <v>100</v>
      </c>
      <c r="E5" s="226" t="n">
        <v>100</v>
      </c>
      <c r="F5" s="227" t="n">
        <v>100</v>
      </c>
    </row>
    <row r="6" customFormat="false" ht="14.25" hidden="false" customHeight="false" outlineLevel="0" collapsed="false">
      <c r="A6" s="222"/>
      <c r="B6" s="223"/>
      <c r="C6" s="224"/>
      <c r="D6" s="225"/>
      <c r="E6" s="226"/>
      <c r="F6" s="227" t="n">
        <v>101</v>
      </c>
    </row>
    <row r="7" customFormat="false" ht="14.25" hidden="false" customHeight="false" outlineLevel="0" collapsed="false">
      <c r="A7" s="222"/>
      <c r="B7" s="223"/>
      <c r="C7" s="224"/>
      <c r="D7" s="225"/>
      <c r="E7" s="226" t="n">
        <v>102</v>
      </c>
      <c r="F7" s="227" t="n">
        <v>102</v>
      </c>
    </row>
    <row r="8" customFormat="false" ht="14.25" hidden="false" customHeight="false" outlineLevel="0" collapsed="false">
      <c r="A8" s="222"/>
      <c r="B8" s="223"/>
      <c r="C8" s="224"/>
      <c r="D8" s="225"/>
      <c r="E8" s="226"/>
      <c r="F8" s="227" t="n">
        <v>104</v>
      </c>
    </row>
    <row r="9" customFormat="false" ht="14.25" hidden="false" customHeight="false" outlineLevel="0" collapsed="false">
      <c r="A9" s="222"/>
      <c r="B9" s="223"/>
      <c r="C9" s="224"/>
      <c r="D9" s="225" t="n">
        <v>105</v>
      </c>
      <c r="E9" s="226" t="n">
        <v>105</v>
      </c>
      <c r="F9" s="227" t="n">
        <v>105</v>
      </c>
    </row>
    <row r="10" customFormat="false" ht="14.25" hidden="false" customHeight="false" outlineLevel="0" collapsed="false">
      <c r="A10" s="222"/>
      <c r="B10" s="223"/>
      <c r="C10" s="224"/>
      <c r="D10" s="225"/>
      <c r="E10" s="226"/>
      <c r="F10" s="227" t="n">
        <v>106</v>
      </c>
      <c r="I10" s="228"/>
    </row>
    <row r="11" customFormat="false" ht="14.25" hidden="false" customHeight="false" outlineLevel="0" collapsed="false">
      <c r="A11" s="222"/>
      <c r="B11" s="223"/>
      <c r="C11" s="224"/>
      <c r="D11" s="225"/>
      <c r="E11" s="226" t="n">
        <v>107</v>
      </c>
      <c r="F11" s="227" t="n">
        <v>107</v>
      </c>
    </row>
    <row r="12" customFormat="false" ht="14.25" hidden="false" customHeight="false" outlineLevel="0" collapsed="false">
      <c r="A12" s="222"/>
      <c r="B12" s="223"/>
      <c r="C12" s="224"/>
      <c r="D12" s="225"/>
      <c r="E12" s="226"/>
      <c r="F12" s="227" t="n">
        <v>109</v>
      </c>
    </row>
    <row r="13" customFormat="false" ht="14.25" hidden="false" customHeight="false" outlineLevel="0" collapsed="false">
      <c r="A13" s="222"/>
      <c r="B13" s="223"/>
      <c r="C13" s="224" t="n">
        <v>110</v>
      </c>
      <c r="D13" s="225" t="n">
        <v>110</v>
      </c>
      <c r="E13" s="226" t="n">
        <v>110</v>
      </c>
      <c r="F13" s="227" t="n">
        <v>110</v>
      </c>
    </row>
    <row r="14" customFormat="false" ht="14.25" hidden="false" customHeight="false" outlineLevel="0" collapsed="false">
      <c r="A14" s="222"/>
      <c r="B14" s="223"/>
      <c r="C14" s="224"/>
      <c r="D14" s="225"/>
      <c r="E14" s="226"/>
      <c r="F14" s="227" t="n">
        <v>111</v>
      </c>
    </row>
    <row r="15" customFormat="false" ht="14.25" hidden="false" customHeight="false" outlineLevel="0" collapsed="false">
      <c r="A15" s="222"/>
      <c r="B15" s="223"/>
      <c r="C15" s="224"/>
      <c r="D15" s="225"/>
      <c r="E15" s="226" t="n">
        <v>113</v>
      </c>
      <c r="F15" s="227" t="n">
        <v>113</v>
      </c>
    </row>
    <row r="16" customFormat="false" ht="14.25" hidden="false" customHeight="false" outlineLevel="0" collapsed="false">
      <c r="A16" s="222"/>
      <c r="B16" s="223"/>
      <c r="C16" s="224"/>
      <c r="D16" s="225"/>
      <c r="E16" s="226"/>
      <c r="F16" s="227" t="n">
        <v>114</v>
      </c>
    </row>
    <row r="17" customFormat="false" ht="14.25" hidden="false" customHeight="false" outlineLevel="0" collapsed="false">
      <c r="A17" s="222"/>
      <c r="B17" s="223"/>
      <c r="C17" s="224"/>
      <c r="D17" s="225" t="n">
        <v>115</v>
      </c>
      <c r="E17" s="226" t="n">
        <v>115</v>
      </c>
      <c r="F17" s="227" t="n">
        <v>115</v>
      </c>
    </row>
    <row r="18" customFormat="false" ht="14.25" hidden="false" customHeight="false" outlineLevel="0" collapsed="false">
      <c r="A18" s="222"/>
      <c r="B18" s="223"/>
      <c r="C18" s="224"/>
      <c r="D18" s="225"/>
      <c r="E18" s="226"/>
      <c r="F18" s="227" t="n">
        <v>117</v>
      </c>
    </row>
    <row r="19" customFormat="false" ht="14.25" hidden="false" customHeight="false" outlineLevel="0" collapsed="false">
      <c r="A19" s="222"/>
      <c r="B19" s="223"/>
      <c r="C19" s="224"/>
      <c r="D19" s="225"/>
      <c r="E19" s="226" t="n">
        <v>118</v>
      </c>
      <c r="F19" s="227" t="n">
        <v>118</v>
      </c>
    </row>
    <row r="20" customFormat="false" ht="14.25" hidden="false" customHeight="false" outlineLevel="0" collapsed="false">
      <c r="A20" s="222"/>
      <c r="B20" s="223"/>
      <c r="C20" s="224"/>
      <c r="D20" s="225"/>
      <c r="E20" s="226"/>
      <c r="F20" s="227" t="n">
        <v>120</v>
      </c>
    </row>
    <row r="21" customFormat="false" ht="14.25" hidden="false" customHeight="false" outlineLevel="0" collapsed="false">
      <c r="A21" s="222"/>
      <c r="B21" s="223" t="n">
        <v>120</v>
      </c>
      <c r="C21" s="224" t="n">
        <v>120</v>
      </c>
      <c r="D21" s="225" t="n">
        <v>121</v>
      </c>
      <c r="E21" s="226" t="n">
        <v>121</v>
      </c>
      <c r="F21" s="227" t="n">
        <v>121</v>
      </c>
    </row>
    <row r="22" customFormat="false" ht="14.25" hidden="false" customHeight="false" outlineLevel="0" collapsed="false">
      <c r="A22" s="222"/>
      <c r="B22" s="223"/>
      <c r="C22" s="224"/>
      <c r="D22" s="225"/>
      <c r="E22" s="226"/>
      <c r="F22" s="227" t="n">
        <v>123</v>
      </c>
    </row>
    <row r="23" customFormat="false" ht="14.25" hidden="false" customHeight="false" outlineLevel="0" collapsed="false">
      <c r="A23" s="222"/>
      <c r="B23" s="223"/>
      <c r="C23" s="224"/>
      <c r="D23" s="225"/>
      <c r="E23" s="226" t="n">
        <v>124</v>
      </c>
      <c r="F23" s="227" t="n">
        <v>124</v>
      </c>
    </row>
    <row r="24" customFormat="false" ht="14.25" hidden="false" customHeight="false" outlineLevel="0" collapsed="false">
      <c r="A24" s="222"/>
      <c r="B24" s="223"/>
      <c r="C24" s="224"/>
      <c r="D24" s="225"/>
      <c r="E24" s="226"/>
      <c r="F24" s="227" t="n">
        <v>126</v>
      </c>
    </row>
    <row r="25" customFormat="false" ht="14.25" hidden="false" customHeight="false" outlineLevel="0" collapsed="false">
      <c r="A25" s="222"/>
      <c r="B25" s="223"/>
      <c r="C25" s="224"/>
      <c r="D25" s="225" t="n">
        <v>127</v>
      </c>
      <c r="E25" s="226" t="n">
        <v>127</v>
      </c>
      <c r="F25" s="227" t="n">
        <v>127</v>
      </c>
    </row>
    <row r="26" customFormat="false" ht="14.25" hidden="false" customHeight="false" outlineLevel="0" collapsed="false">
      <c r="A26" s="222"/>
      <c r="B26" s="223"/>
      <c r="C26" s="224"/>
      <c r="D26" s="225"/>
      <c r="E26" s="226"/>
      <c r="F26" s="227" t="n">
        <v>129</v>
      </c>
    </row>
    <row r="27" customFormat="false" ht="14.25" hidden="false" customHeight="false" outlineLevel="0" collapsed="false">
      <c r="A27" s="222"/>
      <c r="B27" s="223"/>
      <c r="C27" s="224"/>
      <c r="D27" s="225"/>
      <c r="E27" s="226" t="n">
        <v>130</v>
      </c>
      <c r="F27" s="227" t="n">
        <v>130</v>
      </c>
    </row>
    <row r="28" customFormat="false" ht="14.25" hidden="false" customHeight="false" outlineLevel="0" collapsed="false">
      <c r="A28" s="222"/>
      <c r="B28" s="223"/>
      <c r="C28" s="224"/>
      <c r="D28" s="225"/>
      <c r="E28" s="226"/>
      <c r="F28" s="227" t="n">
        <v>132</v>
      </c>
    </row>
    <row r="29" customFormat="false" ht="14.25" hidden="false" customHeight="false" outlineLevel="0" collapsed="false">
      <c r="A29" s="222"/>
      <c r="B29" s="223"/>
      <c r="C29" s="224" t="n">
        <v>130</v>
      </c>
      <c r="D29" s="225" t="n">
        <v>133</v>
      </c>
      <c r="E29" s="226" t="n">
        <v>133</v>
      </c>
      <c r="F29" s="227" t="n">
        <v>133</v>
      </c>
    </row>
    <row r="30" customFormat="false" ht="14.25" hidden="false" customHeight="false" outlineLevel="0" collapsed="false">
      <c r="A30" s="222"/>
      <c r="B30" s="223"/>
      <c r="C30" s="224"/>
      <c r="D30" s="225"/>
      <c r="E30" s="226"/>
      <c r="F30" s="227" t="n">
        <v>135</v>
      </c>
    </row>
    <row r="31" customFormat="false" ht="14.25" hidden="false" customHeight="false" outlineLevel="0" collapsed="false">
      <c r="A31" s="222"/>
      <c r="B31" s="223"/>
      <c r="C31" s="224"/>
      <c r="D31" s="225"/>
      <c r="E31" s="226" t="n">
        <v>137</v>
      </c>
      <c r="F31" s="227" t="n">
        <v>137</v>
      </c>
    </row>
    <row r="32" customFormat="false" ht="14.25" hidden="false" customHeight="false" outlineLevel="0" collapsed="false">
      <c r="A32" s="222"/>
      <c r="B32" s="223"/>
      <c r="C32" s="224"/>
      <c r="D32" s="225"/>
      <c r="E32" s="226"/>
      <c r="F32" s="227" t="n">
        <v>138</v>
      </c>
    </row>
    <row r="33" customFormat="false" ht="14.25" hidden="false" customHeight="false" outlineLevel="0" collapsed="false">
      <c r="A33" s="222"/>
      <c r="B33" s="223"/>
      <c r="C33" s="224"/>
      <c r="D33" s="225" t="n">
        <v>140</v>
      </c>
      <c r="E33" s="226" t="n">
        <v>140</v>
      </c>
      <c r="F33" s="227" t="n">
        <v>140</v>
      </c>
    </row>
    <row r="34" customFormat="false" ht="14.25" hidden="false" customHeight="false" outlineLevel="0" collapsed="false">
      <c r="A34" s="222"/>
      <c r="B34" s="223"/>
      <c r="C34" s="224"/>
      <c r="D34" s="225"/>
      <c r="E34" s="226"/>
      <c r="F34" s="227" t="n">
        <v>142</v>
      </c>
    </row>
    <row r="35" customFormat="false" ht="14.25" hidden="false" customHeight="false" outlineLevel="0" collapsed="false">
      <c r="A35" s="222"/>
      <c r="B35" s="223"/>
      <c r="C35" s="224"/>
      <c r="D35" s="225"/>
      <c r="E35" s="226" t="n">
        <v>143</v>
      </c>
      <c r="F35" s="227" t="n">
        <v>143</v>
      </c>
    </row>
    <row r="36" customFormat="false" ht="14.25" hidden="false" customHeight="false" outlineLevel="0" collapsed="false">
      <c r="A36" s="222"/>
      <c r="B36" s="223"/>
      <c r="C36" s="224"/>
      <c r="D36" s="225"/>
      <c r="E36" s="226"/>
      <c r="F36" s="227" t="n">
        <v>145</v>
      </c>
    </row>
    <row r="37" customFormat="false" ht="14.25" hidden="false" customHeight="false" outlineLevel="0" collapsed="false">
      <c r="A37" s="222" t="n">
        <v>150</v>
      </c>
      <c r="B37" s="223" t="n">
        <v>150</v>
      </c>
      <c r="C37" s="224" t="n">
        <v>150</v>
      </c>
      <c r="D37" s="225" t="n">
        <v>147</v>
      </c>
      <c r="E37" s="226" t="n">
        <v>147</v>
      </c>
      <c r="F37" s="227" t="n">
        <v>147</v>
      </c>
    </row>
    <row r="38" customFormat="false" ht="14.25" hidden="false" customHeight="false" outlineLevel="0" collapsed="false">
      <c r="A38" s="222"/>
      <c r="B38" s="223"/>
      <c r="C38" s="224"/>
      <c r="D38" s="225"/>
      <c r="E38" s="226"/>
      <c r="F38" s="227" t="n">
        <v>149</v>
      </c>
    </row>
    <row r="39" customFormat="false" ht="14.25" hidden="false" customHeight="false" outlineLevel="0" collapsed="false">
      <c r="A39" s="222"/>
      <c r="B39" s="223"/>
      <c r="C39" s="224"/>
      <c r="D39" s="225"/>
      <c r="E39" s="226" t="n">
        <v>150</v>
      </c>
      <c r="F39" s="227" t="n">
        <v>150</v>
      </c>
    </row>
    <row r="40" customFormat="false" ht="14.25" hidden="false" customHeight="false" outlineLevel="0" collapsed="false">
      <c r="A40" s="222"/>
      <c r="B40" s="223"/>
      <c r="C40" s="224"/>
      <c r="D40" s="225"/>
      <c r="E40" s="226"/>
      <c r="F40" s="227" t="n">
        <v>152</v>
      </c>
    </row>
    <row r="41" customFormat="false" ht="14.25" hidden="false" customHeight="false" outlineLevel="0" collapsed="false">
      <c r="A41" s="222"/>
      <c r="B41" s="223"/>
      <c r="C41" s="224"/>
      <c r="D41" s="225" t="n">
        <v>154</v>
      </c>
      <c r="E41" s="226" t="n">
        <v>154</v>
      </c>
      <c r="F41" s="227" t="n">
        <v>154</v>
      </c>
    </row>
    <row r="42" customFormat="false" ht="14.25" hidden="false" customHeight="false" outlineLevel="0" collapsed="false">
      <c r="A42" s="222"/>
      <c r="B42" s="223"/>
      <c r="C42" s="224"/>
      <c r="D42" s="225"/>
      <c r="E42" s="226"/>
      <c r="F42" s="227" t="n">
        <v>156</v>
      </c>
    </row>
    <row r="43" customFormat="false" ht="14.25" hidden="false" customHeight="false" outlineLevel="0" collapsed="false">
      <c r="A43" s="222"/>
      <c r="B43" s="223"/>
      <c r="C43" s="224"/>
      <c r="D43" s="225"/>
      <c r="E43" s="226" t="n">
        <v>158</v>
      </c>
      <c r="F43" s="227" t="n">
        <v>158</v>
      </c>
    </row>
    <row r="44" customFormat="false" ht="14.25" hidden="false" customHeight="false" outlineLevel="0" collapsed="false">
      <c r="A44" s="222"/>
      <c r="B44" s="223"/>
      <c r="C44" s="224"/>
      <c r="D44" s="225"/>
      <c r="E44" s="226"/>
      <c r="F44" s="227" t="n">
        <v>160</v>
      </c>
    </row>
    <row r="45" customFormat="false" ht="14.25" hidden="false" customHeight="false" outlineLevel="0" collapsed="false">
      <c r="A45" s="222"/>
      <c r="B45" s="223"/>
      <c r="C45" s="224" t="n">
        <v>160</v>
      </c>
      <c r="D45" s="225" t="n">
        <v>162</v>
      </c>
      <c r="E45" s="226" t="n">
        <v>162</v>
      </c>
      <c r="F45" s="227" t="n">
        <v>162</v>
      </c>
    </row>
    <row r="46" customFormat="false" ht="14.25" hidden="false" customHeight="false" outlineLevel="0" collapsed="false">
      <c r="A46" s="222"/>
      <c r="B46" s="223"/>
      <c r="C46" s="224"/>
      <c r="D46" s="225"/>
      <c r="E46" s="226"/>
      <c r="F46" s="227" t="n">
        <v>164</v>
      </c>
    </row>
    <row r="47" customFormat="false" ht="14.25" hidden="false" customHeight="false" outlineLevel="0" collapsed="false">
      <c r="A47" s="222"/>
      <c r="B47" s="223"/>
      <c r="C47" s="224"/>
      <c r="D47" s="225"/>
      <c r="E47" s="226" t="n">
        <v>165</v>
      </c>
      <c r="F47" s="227" t="n">
        <v>165</v>
      </c>
    </row>
    <row r="48" customFormat="false" ht="14.25" hidden="false" customHeight="false" outlineLevel="0" collapsed="false">
      <c r="A48" s="222"/>
      <c r="B48" s="223"/>
      <c r="C48" s="224"/>
      <c r="D48" s="225"/>
      <c r="E48" s="226"/>
      <c r="F48" s="227" t="n">
        <v>167</v>
      </c>
    </row>
    <row r="49" customFormat="false" ht="14.25" hidden="false" customHeight="false" outlineLevel="0" collapsed="false">
      <c r="A49" s="222"/>
      <c r="B49" s="223"/>
      <c r="C49" s="224"/>
      <c r="D49" s="225" t="n">
        <v>169</v>
      </c>
      <c r="E49" s="226" t="n">
        <v>169</v>
      </c>
      <c r="F49" s="227" t="n">
        <v>169</v>
      </c>
    </row>
    <row r="50" customFormat="false" ht="14.25" hidden="false" customHeight="false" outlineLevel="0" collapsed="false">
      <c r="A50" s="222"/>
      <c r="B50" s="223"/>
      <c r="C50" s="224"/>
      <c r="D50" s="225"/>
      <c r="E50" s="226"/>
      <c r="F50" s="227" t="n">
        <v>172</v>
      </c>
    </row>
    <row r="51" customFormat="false" ht="14.25" hidden="false" customHeight="false" outlineLevel="0" collapsed="false">
      <c r="A51" s="222"/>
      <c r="B51" s="223"/>
      <c r="C51" s="224"/>
      <c r="D51" s="225"/>
      <c r="E51" s="226" t="n">
        <v>174</v>
      </c>
      <c r="F51" s="227" t="n">
        <v>174</v>
      </c>
    </row>
    <row r="52" customFormat="false" ht="14.25" hidden="false" customHeight="false" outlineLevel="0" collapsed="false">
      <c r="A52" s="222"/>
      <c r="B52" s="223"/>
      <c r="C52" s="224"/>
      <c r="D52" s="225"/>
      <c r="E52" s="226"/>
      <c r="F52" s="227" t="n">
        <v>176</v>
      </c>
    </row>
    <row r="53" customFormat="false" ht="14.25" hidden="false" customHeight="false" outlineLevel="0" collapsed="false">
      <c r="A53" s="222"/>
      <c r="B53" s="223" t="n">
        <v>180</v>
      </c>
      <c r="C53" s="224" t="n">
        <v>180</v>
      </c>
      <c r="D53" s="225" t="n">
        <v>178</v>
      </c>
      <c r="E53" s="226" t="n">
        <v>178</v>
      </c>
      <c r="F53" s="227" t="n">
        <v>178</v>
      </c>
    </row>
    <row r="54" customFormat="false" ht="14.25" hidden="false" customHeight="false" outlineLevel="0" collapsed="false">
      <c r="A54" s="222"/>
      <c r="B54" s="223"/>
      <c r="C54" s="224"/>
      <c r="D54" s="225"/>
      <c r="E54" s="226"/>
      <c r="F54" s="227" t="n">
        <v>180</v>
      </c>
    </row>
    <row r="55" customFormat="false" ht="14.25" hidden="false" customHeight="false" outlineLevel="0" collapsed="false">
      <c r="A55" s="222"/>
      <c r="B55" s="223"/>
      <c r="C55" s="224"/>
      <c r="D55" s="225"/>
      <c r="E55" s="226" t="n">
        <v>182</v>
      </c>
      <c r="F55" s="227" t="n">
        <v>182</v>
      </c>
    </row>
    <row r="56" customFormat="false" ht="14.25" hidden="false" customHeight="false" outlineLevel="0" collapsed="false">
      <c r="A56" s="222"/>
      <c r="B56" s="223"/>
      <c r="C56" s="224"/>
      <c r="D56" s="225"/>
      <c r="E56" s="226"/>
      <c r="F56" s="227" t="n">
        <v>184</v>
      </c>
    </row>
    <row r="57" customFormat="false" ht="14.25" hidden="false" customHeight="false" outlineLevel="0" collapsed="false">
      <c r="A57" s="222"/>
      <c r="B57" s="223"/>
      <c r="C57" s="224"/>
      <c r="D57" s="225" t="n">
        <v>187</v>
      </c>
      <c r="E57" s="226" t="n">
        <v>187</v>
      </c>
      <c r="F57" s="227" t="n">
        <v>187</v>
      </c>
    </row>
    <row r="58" customFormat="false" ht="14.25" hidden="false" customHeight="false" outlineLevel="0" collapsed="false">
      <c r="A58" s="222"/>
      <c r="B58" s="223"/>
      <c r="C58" s="224"/>
      <c r="D58" s="225"/>
      <c r="E58" s="226"/>
      <c r="F58" s="227" t="n">
        <v>189</v>
      </c>
    </row>
    <row r="59" customFormat="false" ht="14.25" hidden="false" customHeight="false" outlineLevel="0" collapsed="false">
      <c r="A59" s="222"/>
      <c r="B59" s="223"/>
      <c r="C59" s="224"/>
      <c r="D59" s="225"/>
      <c r="E59" s="226" t="n">
        <v>191</v>
      </c>
      <c r="F59" s="227" t="n">
        <v>191</v>
      </c>
    </row>
    <row r="60" customFormat="false" ht="14.25" hidden="false" customHeight="false" outlineLevel="0" collapsed="false">
      <c r="A60" s="222"/>
      <c r="B60" s="223"/>
      <c r="C60" s="224"/>
      <c r="D60" s="225"/>
      <c r="E60" s="226"/>
      <c r="F60" s="227" t="n">
        <v>193</v>
      </c>
    </row>
    <row r="61" customFormat="false" ht="14.25" hidden="false" customHeight="false" outlineLevel="0" collapsed="false">
      <c r="A61" s="222"/>
      <c r="B61" s="223"/>
      <c r="C61" s="224" t="n">
        <v>200</v>
      </c>
      <c r="D61" s="225" t="n">
        <v>196</v>
      </c>
      <c r="E61" s="226" t="n">
        <v>196</v>
      </c>
      <c r="F61" s="227" t="n">
        <v>196</v>
      </c>
    </row>
    <row r="62" customFormat="false" ht="14.25" hidden="false" customHeight="false" outlineLevel="0" collapsed="false">
      <c r="A62" s="222"/>
      <c r="B62" s="223"/>
      <c r="C62" s="224"/>
      <c r="D62" s="225"/>
      <c r="E62" s="226"/>
      <c r="F62" s="227" t="n">
        <v>198</v>
      </c>
    </row>
    <row r="63" customFormat="false" ht="14.25" hidden="false" customHeight="false" outlineLevel="0" collapsed="false">
      <c r="A63" s="222"/>
      <c r="B63" s="223"/>
      <c r="C63" s="224"/>
      <c r="D63" s="225"/>
      <c r="E63" s="226" t="n">
        <v>200</v>
      </c>
      <c r="F63" s="227" t="n">
        <v>200</v>
      </c>
    </row>
    <row r="64" customFormat="false" ht="14.25" hidden="false" customHeight="false" outlineLevel="0" collapsed="false">
      <c r="A64" s="222"/>
      <c r="B64" s="223"/>
      <c r="C64" s="224"/>
      <c r="D64" s="225"/>
      <c r="E64" s="226"/>
      <c r="F64" s="227" t="n">
        <v>203</v>
      </c>
    </row>
    <row r="65" customFormat="false" ht="14.25" hidden="false" customHeight="false" outlineLevel="0" collapsed="false">
      <c r="A65" s="222"/>
      <c r="B65" s="223"/>
      <c r="C65" s="224"/>
      <c r="D65" s="225" t="n">
        <v>205</v>
      </c>
      <c r="E65" s="226" t="n">
        <v>205</v>
      </c>
      <c r="F65" s="227" t="n">
        <v>205</v>
      </c>
    </row>
    <row r="66" customFormat="false" ht="14.25" hidden="false" customHeight="false" outlineLevel="0" collapsed="false">
      <c r="A66" s="222"/>
      <c r="B66" s="223"/>
      <c r="C66" s="224"/>
      <c r="D66" s="225"/>
      <c r="E66" s="226"/>
      <c r="F66" s="227" t="n">
        <v>208</v>
      </c>
    </row>
    <row r="67" customFormat="false" ht="14.25" hidden="false" customHeight="false" outlineLevel="0" collapsed="false">
      <c r="A67" s="222"/>
      <c r="B67" s="223"/>
      <c r="C67" s="224"/>
      <c r="D67" s="225"/>
      <c r="E67" s="226" t="n">
        <v>210</v>
      </c>
      <c r="F67" s="227" t="n">
        <v>210</v>
      </c>
    </row>
    <row r="68" customFormat="false" ht="14.25" hidden="false" customHeight="false" outlineLevel="0" collapsed="false">
      <c r="A68" s="222"/>
      <c r="B68" s="223"/>
      <c r="C68" s="224"/>
      <c r="D68" s="225"/>
      <c r="E68" s="226"/>
      <c r="F68" s="227" t="n">
        <v>213</v>
      </c>
    </row>
    <row r="69" customFormat="false" ht="14.25" hidden="false" customHeight="false" outlineLevel="0" collapsed="false">
      <c r="A69" s="222" t="n">
        <v>220</v>
      </c>
      <c r="B69" s="223" t="n">
        <v>220</v>
      </c>
      <c r="C69" s="224" t="n">
        <v>220</v>
      </c>
      <c r="D69" s="225" t="n">
        <v>215</v>
      </c>
      <c r="E69" s="226" t="n">
        <v>215</v>
      </c>
      <c r="F69" s="227" t="n">
        <v>215</v>
      </c>
    </row>
    <row r="70" customFormat="false" ht="14.25" hidden="false" customHeight="false" outlineLevel="0" collapsed="false">
      <c r="A70" s="222"/>
      <c r="B70" s="223"/>
      <c r="C70" s="224"/>
      <c r="D70" s="225"/>
      <c r="E70" s="226"/>
      <c r="F70" s="227" t="n">
        <v>218</v>
      </c>
    </row>
    <row r="71" customFormat="false" ht="14.25" hidden="false" customHeight="false" outlineLevel="0" collapsed="false">
      <c r="A71" s="222"/>
      <c r="B71" s="223"/>
      <c r="C71" s="224"/>
      <c r="D71" s="225"/>
      <c r="E71" s="226" t="n">
        <v>221</v>
      </c>
      <c r="F71" s="227" t="n">
        <v>221</v>
      </c>
    </row>
    <row r="72" customFormat="false" ht="14.25" hidden="false" customHeight="false" outlineLevel="0" collapsed="false">
      <c r="A72" s="222"/>
      <c r="B72" s="223"/>
      <c r="C72" s="224"/>
      <c r="D72" s="225"/>
      <c r="E72" s="226"/>
      <c r="F72" s="227" t="n">
        <v>223</v>
      </c>
    </row>
    <row r="73" customFormat="false" ht="14.25" hidden="false" customHeight="false" outlineLevel="0" collapsed="false">
      <c r="A73" s="222"/>
      <c r="B73" s="223"/>
      <c r="C73" s="224"/>
      <c r="D73" s="225" t="n">
        <v>226</v>
      </c>
      <c r="E73" s="226" t="n">
        <v>226</v>
      </c>
      <c r="F73" s="227" t="n">
        <v>226</v>
      </c>
    </row>
    <row r="74" customFormat="false" ht="14.25" hidden="false" customHeight="false" outlineLevel="0" collapsed="false">
      <c r="A74" s="222"/>
      <c r="B74" s="223"/>
      <c r="C74" s="224"/>
      <c r="D74" s="225"/>
      <c r="E74" s="226"/>
      <c r="F74" s="227" t="n">
        <v>229</v>
      </c>
    </row>
    <row r="75" customFormat="false" ht="14.25" hidden="false" customHeight="false" outlineLevel="0" collapsed="false">
      <c r="A75" s="222"/>
      <c r="B75" s="223"/>
      <c r="C75" s="224"/>
      <c r="D75" s="225"/>
      <c r="E75" s="226" t="n">
        <v>232</v>
      </c>
      <c r="F75" s="227" t="n">
        <v>232</v>
      </c>
    </row>
    <row r="76" customFormat="false" ht="14.25" hidden="false" customHeight="false" outlineLevel="0" collapsed="false">
      <c r="A76" s="222"/>
      <c r="B76" s="223"/>
      <c r="C76" s="224"/>
      <c r="D76" s="225"/>
      <c r="E76" s="226"/>
      <c r="F76" s="227" t="n">
        <v>234</v>
      </c>
    </row>
    <row r="77" customFormat="false" ht="14.25" hidden="false" customHeight="false" outlineLevel="0" collapsed="false">
      <c r="A77" s="222"/>
      <c r="B77" s="223"/>
      <c r="C77" s="224" t="n">
        <v>240</v>
      </c>
      <c r="D77" s="225" t="n">
        <v>237</v>
      </c>
      <c r="E77" s="226" t="n">
        <v>237</v>
      </c>
      <c r="F77" s="227" t="n">
        <v>237</v>
      </c>
    </row>
    <row r="78" customFormat="false" ht="14.25" hidden="false" customHeight="false" outlineLevel="0" collapsed="false">
      <c r="A78" s="222"/>
      <c r="B78" s="223"/>
      <c r="C78" s="224"/>
      <c r="D78" s="225"/>
      <c r="E78" s="226"/>
      <c r="F78" s="227" t="n">
        <v>240</v>
      </c>
    </row>
    <row r="79" customFormat="false" ht="14.25" hidden="false" customHeight="false" outlineLevel="0" collapsed="false">
      <c r="A79" s="222"/>
      <c r="B79" s="223"/>
      <c r="C79" s="224"/>
      <c r="D79" s="225"/>
      <c r="E79" s="226" t="n">
        <v>243</v>
      </c>
      <c r="F79" s="227" t="n">
        <v>243</v>
      </c>
    </row>
    <row r="80" customFormat="false" ht="14.25" hidden="false" customHeight="false" outlineLevel="0" collapsed="false">
      <c r="A80" s="222"/>
      <c r="B80" s="223"/>
      <c r="C80" s="224"/>
      <c r="D80" s="225"/>
      <c r="E80" s="226"/>
      <c r="F80" s="227" t="n">
        <v>246</v>
      </c>
    </row>
    <row r="81" customFormat="false" ht="14.25" hidden="false" customHeight="false" outlineLevel="0" collapsed="false">
      <c r="A81" s="222"/>
      <c r="B81" s="223"/>
      <c r="C81" s="224"/>
      <c r="D81" s="225" t="n">
        <v>249</v>
      </c>
      <c r="E81" s="226" t="n">
        <v>249</v>
      </c>
      <c r="F81" s="227" t="n">
        <v>249</v>
      </c>
    </row>
    <row r="82" customFormat="false" ht="14.25" hidden="false" customHeight="false" outlineLevel="0" collapsed="false">
      <c r="A82" s="222"/>
      <c r="B82" s="223"/>
      <c r="C82" s="224"/>
      <c r="D82" s="225"/>
      <c r="E82" s="226"/>
      <c r="F82" s="227" t="n">
        <v>252</v>
      </c>
    </row>
    <row r="83" customFormat="false" ht="14.25" hidden="false" customHeight="false" outlineLevel="0" collapsed="false">
      <c r="A83" s="222"/>
      <c r="B83" s="223"/>
      <c r="C83" s="224"/>
      <c r="D83" s="225"/>
      <c r="E83" s="226" t="n">
        <v>255</v>
      </c>
      <c r="F83" s="227" t="n">
        <v>255</v>
      </c>
    </row>
    <row r="84" customFormat="false" ht="14.25" hidden="false" customHeight="false" outlineLevel="0" collapsed="false">
      <c r="A84" s="222"/>
      <c r="B84" s="223"/>
      <c r="C84" s="224"/>
      <c r="D84" s="225"/>
      <c r="E84" s="226"/>
      <c r="F84" s="227" t="n">
        <v>258</v>
      </c>
    </row>
    <row r="85" customFormat="false" ht="14.25" hidden="false" customHeight="false" outlineLevel="0" collapsed="false">
      <c r="A85" s="222"/>
      <c r="B85" s="223" t="n">
        <v>270</v>
      </c>
      <c r="C85" s="224" t="n">
        <v>270</v>
      </c>
      <c r="D85" s="225" t="n">
        <v>261</v>
      </c>
      <c r="E85" s="226" t="n">
        <v>261</v>
      </c>
      <c r="F85" s="227" t="n">
        <v>261</v>
      </c>
    </row>
    <row r="86" customFormat="false" ht="14.25" hidden="false" customHeight="false" outlineLevel="0" collapsed="false">
      <c r="A86" s="222"/>
      <c r="B86" s="223"/>
      <c r="C86" s="224"/>
      <c r="D86" s="225"/>
      <c r="E86" s="226"/>
      <c r="F86" s="227" t="n">
        <v>264</v>
      </c>
    </row>
    <row r="87" customFormat="false" ht="14.25" hidden="false" customHeight="false" outlineLevel="0" collapsed="false">
      <c r="A87" s="222"/>
      <c r="B87" s="223"/>
      <c r="C87" s="224"/>
      <c r="D87" s="225"/>
      <c r="E87" s="226" t="n">
        <v>267</v>
      </c>
      <c r="F87" s="227" t="n">
        <v>267</v>
      </c>
    </row>
    <row r="88" customFormat="false" ht="14.25" hidden="false" customHeight="false" outlineLevel="0" collapsed="false">
      <c r="A88" s="222"/>
      <c r="B88" s="223"/>
      <c r="C88" s="224"/>
      <c r="D88" s="225"/>
      <c r="E88" s="226"/>
      <c r="F88" s="227" t="n">
        <v>271</v>
      </c>
    </row>
    <row r="89" customFormat="false" ht="14.25" hidden="false" customHeight="false" outlineLevel="0" collapsed="false">
      <c r="A89" s="222"/>
      <c r="B89" s="223"/>
      <c r="C89" s="224"/>
      <c r="D89" s="225" t="n">
        <v>274</v>
      </c>
      <c r="E89" s="226" t="n">
        <v>274</v>
      </c>
      <c r="F89" s="227" t="n">
        <v>274</v>
      </c>
    </row>
    <row r="90" customFormat="false" ht="14.25" hidden="false" customHeight="false" outlineLevel="0" collapsed="false">
      <c r="A90" s="222"/>
      <c r="B90" s="223"/>
      <c r="C90" s="224"/>
      <c r="D90" s="225"/>
      <c r="E90" s="226"/>
      <c r="F90" s="227" t="n">
        <v>277</v>
      </c>
    </row>
    <row r="91" customFormat="false" ht="14.25" hidden="false" customHeight="false" outlineLevel="0" collapsed="false">
      <c r="A91" s="222"/>
      <c r="B91" s="223"/>
      <c r="C91" s="224"/>
      <c r="D91" s="225"/>
      <c r="E91" s="226" t="n">
        <v>280</v>
      </c>
      <c r="F91" s="227" t="n">
        <v>280</v>
      </c>
    </row>
    <row r="92" customFormat="false" ht="14.25" hidden="false" customHeight="false" outlineLevel="0" collapsed="false">
      <c r="A92" s="222"/>
      <c r="B92" s="223"/>
      <c r="C92" s="224"/>
      <c r="D92" s="225"/>
      <c r="E92" s="226"/>
      <c r="F92" s="227" t="n">
        <v>284</v>
      </c>
    </row>
    <row r="93" customFormat="false" ht="14.25" hidden="false" customHeight="false" outlineLevel="0" collapsed="false">
      <c r="A93" s="222"/>
      <c r="B93" s="223"/>
      <c r="C93" s="224" t="n">
        <v>300</v>
      </c>
      <c r="D93" s="225" t="n">
        <v>287</v>
      </c>
      <c r="E93" s="226" t="n">
        <v>287</v>
      </c>
      <c r="F93" s="227" t="n">
        <v>287</v>
      </c>
    </row>
    <row r="94" customFormat="false" ht="14.25" hidden="false" customHeight="false" outlineLevel="0" collapsed="false">
      <c r="A94" s="222"/>
      <c r="B94" s="223"/>
      <c r="C94" s="224"/>
      <c r="D94" s="225"/>
      <c r="E94" s="226"/>
      <c r="F94" s="227" t="n">
        <v>291</v>
      </c>
    </row>
    <row r="95" customFormat="false" ht="14.25" hidden="false" customHeight="false" outlineLevel="0" collapsed="false">
      <c r="A95" s="222"/>
      <c r="B95" s="223"/>
      <c r="C95" s="224"/>
      <c r="D95" s="225"/>
      <c r="E95" s="226" t="n">
        <v>294</v>
      </c>
      <c r="F95" s="227" t="n">
        <v>294</v>
      </c>
    </row>
    <row r="96" customFormat="false" ht="14.25" hidden="false" customHeight="false" outlineLevel="0" collapsed="false">
      <c r="A96" s="222"/>
      <c r="B96" s="223"/>
      <c r="C96" s="224"/>
      <c r="D96" s="225"/>
      <c r="E96" s="226"/>
      <c r="F96" s="227" t="n">
        <v>298</v>
      </c>
    </row>
    <row r="97" customFormat="false" ht="14.25" hidden="false" customHeight="false" outlineLevel="0" collapsed="false">
      <c r="A97" s="222"/>
      <c r="B97" s="223"/>
      <c r="C97" s="224"/>
      <c r="D97" s="225" t="n">
        <v>301</v>
      </c>
      <c r="E97" s="226" t="n">
        <v>301</v>
      </c>
      <c r="F97" s="227" t="n">
        <v>301</v>
      </c>
    </row>
    <row r="98" customFormat="false" ht="14.25" hidden="false" customHeight="false" outlineLevel="0" collapsed="false">
      <c r="A98" s="222"/>
      <c r="B98" s="223"/>
      <c r="C98" s="224"/>
      <c r="D98" s="225"/>
      <c r="E98" s="226"/>
      <c r="F98" s="227" t="n">
        <v>305</v>
      </c>
    </row>
    <row r="99" customFormat="false" ht="14.25" hidden="false" customHeight="false" outlineLevel="0" collapsed="false">
      <c r="A99" s="222"/>
      <c r="B99" s="223"/>
      <c r="C99" s="224"/>
      <c r="D99" s="225"/>
      <c r="E99" s="226" t="n">
        <v>309</v>
      </c>
      <c r="F99" s="227" t="n">
        <v>309</v>
      </c>
    </row>
    <row r="100" customFormat="false" ht="14.25" hidden="false" customHeight="false" outlineLevel="0" collapsed="false">
      <c r="A100" s="222"/>
      <c r="B100" s="223"/>
      <c r="C100" s="224"/>
      <c r="D100" s="225"/>
      <c r="E100" s="226"/>
      <c r="F100" s="227" t="n">
        <v>312</v>
      </c>
    </row>
    <row r="101" customFormat="false" ht="14.25" hidden="false" customHeight="false" outlineLevel="0" collapsed="false">
      <c r="A101" s="222" t="n">
        <v>330</v>
      </c>
      <c r="B101" s="223" t="n">
        <v>330</v>
      </c>
      <c r="C101" s="224" t="n">
        <v>330</v>
      </c>
      <c r="D101" s="225" t="n">
        <v>316</v>
      </c>
      <c r="E101" s="226" t="n">
        <v>316</v>
      </c>
      <c r="F101" s="227" t="n">
        <v>316</v>
      </c>
    </row>
    <row r="102" customFormat="false" ht="14.25" hidden="false" customHeight="false" outlineLevel="0" collapsed="false">
      <c r="A102" s="222"/>
      <c r="B102" s="223"/>
      <c r="C102" s="224"/>
      <c r="D102" s="225"/>
      <c r="E102" s="226"/>
      <c r="F102" s="227" t="n">
        <v>320</v>
      </c>
    </row>
    <row r="103" customFormat="false" ht="14.25" hidden="false" customHeight="false" outlineLevel="0" collapsed="false">
      <c r="A103" s="222"/>
      <c r="B103" s="223"/>
      <c r="C103" s="224"/>
      <c r="D103" s="225"/>
      <c r="E103" s="226" t="n">
        <v>324</v>
      </c>
      <c r="F103" s="227" t="n">
        <v>324</v>
      </c>
    </row>
    <row r="104" customFormat="false" ht="14.25" hidden="false" customHeight="false" outlineLevel="0" collapsed="false">
      <c r="A104" s="222"/>
      <c r="B104" s="223"/>
      <c r="C104" s="224"/>
      <c r="D104" s="225"/>
      <c r="E104" s="226"/>
      <c r="F104" s="227" t="n">
        <v>328</v>
      </c>
    </row>
    <row r="105" customFormat="false" ht="14.25" hidden="false" customHeight="false" outlineLevel="0" collapsed="false">
      <c r="A105" s="222"/>
      <c r="B105" s="223"/>
      <c r="C105" s="224"/>
      <c r="D105" s="225" t="n">
        <v>332</v>
      </c>
      <c r="E105" s="226" t="n">
        <v>332</v>
      </c>
      <c r="F105" s="227" t="n">
        <v>332</v>
      </c>
    </row>
    <row r="106" customFormat="false" ht="14.25" hidden="false" customHeight="false" outlineLevel="0" collapsed="false">
      <c r="A106" s="222"/>
      <c r="B106" s="223"/>
      <c r="C106" s="224"/>
      <c r="D106" s="225"/>
      <c r="E106" s="226"/>
      <c r="F106" s="227" t="n">
        <v>336</v>
      </c>
    </row>
    <row r="107" customFormat="false" ht="14.25" hidden="false" customHeight="false" outlineLevel="0" collapsed="false">
      <c r="A107" s="222"/>
      <c r="B107" s="223"/>
      <c r="C107" s="224"/>
      <c r="D107" s="225"/>
      <c r="E107" s="226" t="n">
        <v>340</v>
      </c>
      <c r="F107" s="227" t="n">
        <v>340</v>
      </c>
    </row>
    <row r="108" customFormat="false" ht="14.25" hidden="false" customHeight="false" outlineLevel="0" collapsed="false">
      <c r="A108" s="222"/>
      <c r="B108" s="223"/>
      <c r="C108" s="224"/>
      <c r="D108" s="225"/>
      <c r="E108" s="226"/>
      <c r="F108" s="227" t="n">
        <v>344</v>
      </c>
    </row>
    <row r="109" customFormat="false" ht="14.25" hidden="false" customHeight="false" outlineLevel="0" collapsed="false">
      <c r="A109" s="222"/>
      <c r="B109" s="223"/>
      <c r="C109" s="224" t="n">
        <v>360</v>
      </c>
      <c r="D109" s="225" t="n">
        <v>348</v>
      </c>
      <c r="E109" s="226" t="n">
        <v>348</v>
      </c>
      <c r="F109" s="227" t="n">
        <v>348</v>
      </c>
    </row>
    <row r="110" customFormat="false" ht="14.25" hidden="false" customHeight="false" outlineLevel="0" collapsed="false">
      <c r="A110" s="222"/>
      <c r="B110" s="223"/>
      <c r="C110" s="224"/>
      <c r="D110" s="225"/>
      <c r="E110" s="226"/>
      <c r="F110" s="227" t="n">
        <v>352</v>
      </c>
    </row>
    <row r="111" customFormat="false" ht="14.25" hidden="false" customHeight="false" outlineLevel="0" collapsed="false">
      <c r="A111" s="222"/>
      <c r="B111" s="223"/>
      <c r="C111" s="224"/>
      <c r="D111" s="225"/>
      <c r="E111" s="226" t="n">
        <v>357</v>
      </c>
      <c r="F111" s="227" t="n">
        <v>357</v>
      </c>
    </row>
    <row r="112" customFormat="false" ht="14.25" hidden="false" customHeight="false" outlineLevel="0" collapsed="false">
      <c r="A112" s="222"/>
      <c r="B112" s="223"/>
      <c r="C112" s="224"/>
      <c r="D112" s="225"/>
      <c r="E112" s="226"/>
      <c r="F112" s="227" t="n">
        <v>361</v>
      </c>
    </row>
    <row r="113" customFormat="false" ht="14.25" hidden="false" customHeight="false" outlineLevel="0" collapsed="false">
      <c r="A113" s="222"/>
      <c r="B113" s="223"/>
      <c r="C113" s="224"/>
      <c r="D113" s="225" t="n">
        <v>365</v>
      </c>
      <c r="E113" s="226" t="n">
        <v>365</v>
      </c>
      <c r="F113" s="227" t="n">
        <v>365</v>
      </c>
    </row>
    <row r="114" customFormat="false" ht="14.25" hidden="false" customHeight="false" outlineLevel="0" collapsed="false">
      <c r="A114" s="222"/>
      <c r="B114" s="223"/>
      <c r="C114" s="224"/>
      <c r="D114" s="225"/>
      <c r="E114" s="226"/>
      <c r="F114" s="227" t="n">
        <v>370</v>
      </c>
    </row>
    <row r="115" customFormat="false" ht="14.25" hidden="false" customHeight="false" outlineLevel="0" collapsed="false">
      <c r="A115" s="222"/>
      <c r="B115" s="223"/>
      <c r="C115" s="224"/>
      <c r="D115" s="225"/>
      <c r="E115" s="226" t="n">
        <v>374</v>
      </c>
      <c r="F115" s="227" t="n">
        <v>374</v>
      </c>
    </row>
    <row r="116" customFormat="false" ht="14.25" hidden="false" customHeight="false" outlineLevel="0" collapsed="false">
      <c r="A116" s="222"/>
      <c r="B116" s="223"/>
      <c r="C116" s="224"/>
      <c r="D116" s="225"/>
      <c r="E116" s="226"/>
      <c r="F116" s="227" t="n">
        <v>379</v>
      </c>
    </row>
    <row r="117" customFormat="false" ht="14.25" hidden="false" customHeight="false" outlineLevel="0" collapsed="false">
      <c r="A117" s="222"/>
      <c r="B117" s="223" t="n">
        <v>390</v>
      </c>
      <c r="C117" s="224" t="n">
        <v>390</v>
      </c>
      <c r="D117" s="225" t="n">
        <v>383</v>
      </c>
      <c r="E117" s="226" t="n">
        <v>383</v>
      </c>
      <c r="F117" s="227" t="n">
        <v>383</v>
      </c>
    </row>
    <row r="118" customFormat="false" ht="14.25" hidden="false" customHeight="false" outlineLevel="0" collapsed="false">
      <c r="A118" s="222"/>
      <c r="B118" s="223"/>
      <c r="C118" s="224"/>
      <c r="D118" s="225"/>
      <c r="E118" s="226"/>
      <c r="F118" s="227" t="n">
        <v>388</v>
      </c>
    </row>
    <row r="119" customFormat="false" ht="14.25" hidden="false" customHeight="false" outlineLevel="0" collapsed="false">
      <c r="A119" s="222"/>
      <c r="B119" s="223"/>
      <c r="C119" s="224"/>
      <c r="D119" s="225"/>
      <c r="E119" s="226" t="n">
        <v>392</v>
      </c>
      <c r="F119" s="227" t="n">
        <v>392</v>
      </c>
    </row>
    <row r="120" customFormat="false" ht="14.25" hidden="false" customHeight="false" outlineLevel="0" collapsed="false">
      <c r="A120" s="222"/>
      <c r="B120" s="223"/>
      <c r="C120" s="224"/>
      <c r="D120" s="225"/>
      <c r="E120" s="226"/>
      <c r="F120" s="227" t="n">
        <v>397</v>
      </c>
    </row>
    <row r="121" customFormat="false" ht="14.25" hidden="false" customHeight="false" outlineLevel="0" collapsed="false">
      <c r="A121" s="222"/>
      <c r="B121" s="223"/>
      <c r="C121" s="224"/>
      <c r="D121" s="225" t="n">
        <v>402</v>
      </c>
      <c r="E121" s="226" t="n">
        <v>402</v>
      </c>
      <c r="F121" s="227" t="n">
        <v>402</v>
      </c>
    </row>
    <row r="122" customFormat="false" ht="14.25" hidden="false" customHeight="false" outlineLevel="0" collapsed="false">
      <c r="A122" s="222"/>
      <c r="B122" s="223"/>
      <c r="C122" s="224"/>
      <c r="D122" s="225"/>
      <c r="E122" s="226"/>
      <c r="F122" s="227" t="n">
        <v>407</v>
      </c>
    </row>
    <row r="123" customFormat="false" ht="14.25" hidden="false" customHeight="false" outlineLevel="0" collapsed="false">
      <c r="A123" s="222"/>
      <c r="B123" s="223"/>
      <c r="C123" s="224"/>
      <c r="D123" s="225"/>
      <c r="E123" s="226" t="n">
        <v>412</v>
      </c>
      <c r="F123" s="227" t="n">
        <v>412</v>
      </c>
    </row>
    <row r="124" customFormat="false" ht="14.25" hidden="false" customHeight="false" outlineLevel="0" collapsed="false">
      <c r="A124" s="222"/>
      <c r="B124" s="223"/>
      <c r="C124" s="224"/>
      <c r="D124" s="225"/>
      <c r="E124" s="226"/>
      <c r="F124" s="227" t="n">
        <v>417</v>
      </c>
    </row>
    <row r="125" customFormat="false" ht="14.25" hidden="false" customHeight="false" outlineLevel="0" collapsed="false">
      <c r="A125" s="222"/>
      <c r="B125" s="223"/>
      <c r="C125" s="224" t="n">
        <v>430</v>
      </c>
      <c r="D125" s="225" t="n">
        <v>422</v>
      </c>
      <c r="E125" s="226" t="n">
        <v>422</v>
      </c>
      <c r="F125" s="227" t="n">
        <v>422</v>
      </c>
    </row>
    <row r="126" customFormat="false" ht="14.25" hidden="false" customHeight="false" outlineLevel="0" collapsed="false">
      <c r="A126" s="222"/>
      <c r="B126" s="223"/>
      <c r="C126" s="224"/>
      <c r="D126" s="225"/>
      <c r="E126" s="226"/>
      <c r="F126" s="227" t="n">
        <v>427</v>
      </c>
    </row>
    <row r="127" customFormat="false" ht="14.25" hidden="false" customHeight="false" outlineLevel="0" collapsed="false">
      <c r="A127" s="222"/>
      <c r="B127" s="223"/>
      <c r="C127" s="224"/>
      <c r="D127" s="225"/>
      <c r="E127" s="226" t="n">
        <v>432</v>
      </c>
      <c r="F127" s="227" t="n">
        <v>432</v>
      </c>
    </row>
    <row r="128" customFormat="false" ht="14.25" hidden="false" customHeight="false" outlineLevel="0" collapsed="false">
      <c r="A128" s="222"/>
      <c r="B128" s="223"/>
      <c r="C128" s="224"/>
      <c r="D128" s="225"/>
      <c r="E128" s="226"/>
      <c r="F128" s="227" t="n">
        <v>437</v>
      </c>
    </row>
    <row r="129" customFormat="false" ht="14.25" hidden="false" customHeight="false" outlineLevel="0" collapsed="false">
      <c r="A129" s="222"/>
      <c r="B129" s="223"/>
      <c r="C129" s="224"/>
      <c r="D129" s="225" t="n">
        <v>442</v>
      </c>
      <c r="E129" s="226" t="n">
        <v>442</v>
      </c>
      <c r="F129" s="227" t="n">
        <v>442</v>
      </c>
    </row>
    <row r="130" customFormat="false" ht="14.25" hidden="false" customHeight="false" outlineLevel="0" collapsed="false">
      <c r="A130" s="222"/>
      <c r="B130" s="223"/>
      <c r="C130" s="224"/>
      <c r="D130" s="225"/>
      <c r="E130" s="226"/>
      <c r="F130" s="227" t="n">
        <v>448</v>
      </c>
    </row>
    <row r="131" customFormat="false" ht="14.25" hidden="false" customHeight="false" outlineLevel="0" collapsed="false">
      <c r="A131" s="222"/>
      <c r="B131" s="223"/>
      <c r="C131" s="224"/>
      <c r="D131" s="225"/>
      <c r="E131" s="226" t="n">
        <v>453</v>
      </c>
      <c r="F131" s="227" t="n">
        <v>453</v>
      </c>
    </row>
    <row r="132" customFormat="false" ht="14.25" hidden="false" customHeight="false" outlineLevel="0" collapsed="false">
      <c r="A132" s="222"/>
      <c r="B132" s="223"/>
      <c r="C132" s="224"/>
      <c r="D132" s="225"/>
      <c r="E132" s="226"/>
      <c r="F132" s="227" t="n">
        <v>459</v>
      </c>
    </row>
    <row r="133" customFormat="false" ht="14.25" hidden="false" customHeight="false" outlineLevel="0" collapsed="false">
      <c r="A133" s="222" t="n">
        <v>470</v>
      </c>
      <c r="B133" s="223" t="n">
        <v>470</v>
      </c>
      <c r="C133" s="224" t="n">
        <v>470</v>
      </c>
      <c r="D133" s="225" t="n">
        <v>464</v>
      </c>
      <c r="E133" s="226" t="n">
        <v>464</v>
      </c>
      <c r="F133" s="227" t="n">
        <v>464</v>
      </c>
    </row>
    <row r="134" customFormat="false" ht="14.25" hidden="false" customHeight="false" outlineLevel="0" collapsed="false">
      <c r="A134" s="222"/>
      <c r="B134" s="223"/>
      <c r="C134" s="224"/>
      <c r="D134" s="225"/>
      <c r="E134" s="226"/>
      <c r="F134" s="227" t="n">
        <v>470</v>
      </c>
    </row>
    <row r="135" customFormat="false" ht="14.25" hidden="false" customHeight="false" outlineLevel="0" collapsed="false">
      <c r="A135" s="222"/>
      <c r="B135" s="223"/>
      <c r="C135" s="224"/>
      <c r="D135" s="225"/>
      <c r="E135" s="226" t="n">
        <v>475</v>
      </c>
      <c r="F135" s="227" t="n">
        <v>475</v>
      </c>
    </row>
    <row r="136" customFormat="false" ht="14.25" hidden="false" customHeight="false" outlineLevel="0" collapsed="false">
      <c r="A136" s="222"/>
      <c r="B136" s="223"/>
      <c r="C136" s="224"/>
      <c r="D136" s="225"/>
      <c r="E136" s="226"/>
      <c r="F136" s="227" t="n">
        <v>481</v>
      </c>
    </row>
    <row r="137" customFormat="false" ht="14.25" hidden="false" customHeight="false" outlineLevel="0" collapsed="false">
      <c r="A137" s="222"/>
      <c r="B137" s="223"/>
      <c r="C137" s="224"/>
      <c r="D137" s="225" t="n">
        <v>487</v>
      </c>
      <c r="E137" s="226" t="n">
        <v>487</v>
      </c>
      <c r="F137" s="227" t="n">
        <v>487</v>
      </c>
    </row>
    <row r="138" customFormat="false" ht="14.25" hidden="false" customHeight="false" outlineLevel="0" collapsed="false">
      <c r="A138" s="222"/>
      <c r="B138" s="223"/>
      <c r="C138" s="224"/>
      <c r="D138" s="225"/>
      <c r="E138" s="226"/>
      <c r="F138" s="227" t="n">
        <v>493</v>
      </c>
    </row>
    <row r="139" customFormat="false" ht="14.25" hidden="false" customHeight="false" outlineLevel="0" collapsed="false">
      <c r="A139" s="222"/>
      <c r="B139" s="223"/>
      <c r="C139" s="224"/>
      <c r="D139" s="225"/>
      <c r="E139" s="226" t="n">
        <v>499</v>
      </c>
      <c r="F139" s="227" t="n">
        <v>499</v>
      </c>
    </row>
    <row r="140" customFormat="false" ht="14.25" hidden="false" customHeight="false" outlineLevel="0" collapsed="false">
      <c r="A140" s="222"/>
      <c r="B140" s="223"/>
      <c r="C140" s="224"/>
      <c r="D140" s="225"/>
      <c r="E140" s="226"/>
      <c r="F140" s="227" t="n">
        <v>505</v>
      </c>
    </row>
    <row r="141" customFormat="false" ht="14.25" hidden="false" customHeight="false" outlineLevel="0" collapsed="false">
      <c r="A141" s="222"/>
      <c r="B141" s="223"/>
      <c r="C141" s="224" t="n">
        <v>510</v>
      </c>
      <c r="D141" s="225" t="n">
        <v>511</v>
      </c>
      <c r="E141" s="226" t="n">
        <v>511</v>
      </c>
      <c r="F141" s="227" t="n">
        <v>511</v>
      </c>
    </row>
    <row r="142" customFormat="false" ht="14.25" hidden="false" customHeight="false" outlineLevel="0" collapsed="false">
      <c r="A142" s="222"/>
      <c r="B142" s="223"/>
      <c r="C142" s="224"/>
      <c r="D142" s="225"/>
      <c r="E142" s="226"/>
      <c r="F142" s="227" t="n">
        <v>517</v>
      </c>
    </row>
    <row r="143" customFormat="false" ht="14.25" hidden="false" customHeight="false" outlineLevel="0" collapsed="false">
      <c r="A143" s="222"/>
      <c r="B143" s="223"/>
      <c r="C143" s="224"/>
      <c r="D143" s="225"/>
      <c r="E143" s="226" t="n">
        <v>523</v>
      </c>
      <c r="F143" s="227" t="n">
        <v>523</v>
      </c>
    </row>
    <row r="144" customFormat="false" ht="14.25" hidden="false" customHeight="false" outlineLevel="0" collapsed="false">
      <c r="A144" s="222"/>
      <c r="B144" s="223"/>
      <c r="C144" s="224"/>
      <c r="D144" s="225"/>
      <c r="E144" s="226"/>
      <c r="F144" s="227" t="n">
        <v>530</v>
      </c>
    </row>
    <row r="145" customFormat="false" ht="14.25" hidden="false" customHeight="false" outlineLevel="0" collapsed="false">
      <c r="A145" s="222"/>
      <c r="B145" s="223"/>
      <c r="C145" s="224"/>
      <c r="D145" s="225" t="n">
        <v>536</v>
      </c>
      <c r="E145" s="226" t="n">
        <v>536</v>
      </c>
      <c r="F145" s="227" t="n">
        <v>536</v>
      </c>
    </row>
    <row r="146" customFormat="false" ht="14.25" hidden="false" customHeight="false" outlineLevel="0" collapsed="false">
      <c r="A146" s="222"/>
      <c r="B146" s="223"/>
      <c r="C146" s="224"/>
      <c r="D146" s="225"/>
      <c r="E146" s="226"/>
      <c r="F146" s="227" t="n">
        <v>542</v>
      </c>
    </row>
    <row r="147" customFormat="false" ht="14.25" hidden="false" customHeight="false" outlineLevel="0" collapsed="false">
      <c r="A147" s="222"/>
      <c r="B147" s="223"/>
      <c r="C147" s="224"/>
      <c r="D147" s="225"/>
      <c r="E147" s="226" t="n">
        <v>549</v>
      </c>
      <c r="F147" s="227" t="n">
        <v>549</v>
      </c>
    </row>
    <row r="148" customFormat="false" ht="14.25" hidden="false" customHeight="false" outlineLevel="0" collapsed="false">
      <c r="A148" s="222"/>
      <c r="B148" s="223"/>
      <c r="C148" s="224"/>
      <c r="D148" s="225"/>
      <c r="E148" s="226"/>
      <c r="F148" s="227" t="n">
        <v>556</v>
      </c>
    </row>
    <row r="149" customFormat="false" ht="14.25" hidden="false" customHeight="false" outlineLevel="0" collapsed="false">
      <c r="A149" s="222"/>
      <c r="B149" s="223" t="n">
        <v>560</v>
      </c>
      <c r="C149" s="224" t="n">
        <v>560</v>
      </c>
      <c r="D149" s="225" t="n">
        <v>562</v>
      </c>
      <c r="E149" s="226" t="n">
        <v>562</v>
      </c>
      <c r="F149" s="227" t="n">
        <v>562</v>
      </c>
    </row>
    <row r="150" customFormat="false" ht="14.25" hidden="false" customHeight="false" outlineLevel="0" collapsed="false">
      <c r="A150" s="222"/>
      <c r="B150" s="223"/>
      <c r="C150" s="224"/>
      <c r="D150" s="225"/>
      <c r="E150" s="226"/>
      <c r="F150" s="227" t="n">
        <v>569</v>
      </c>
    </row>
    <row r="151" customFormat="false" ht="14.25" hidden="false" customHeight="false" outlineLevel="0" collapsed="false">
      <c r="A151" s="222"/>
      <c r="B151" s="223"/>
      <c r="C151" s="224"/>
      <c r="D151" s="225"/>
      <c r="E151" s="226" t="n">
        <v>576</v>
      </c>
      <c r="F151" s="227" t="n">
        <v>576</v>
      </c>
    </row>
    <row r="152" customFormat="false" ht="14.25" hidden="false" customHeight="false" outlineLevel="0" collapsed="false">
      <c r="A152" s="222"/>
      <c r="B152" s="223"/>
      <c r="C152" s="224"/>
      <c r="D152" s="225"/>
      <c r="E152" s="226"/>
      <c r="F152" s="227" t="n">
        <v>583</v>
      </c>
    </row>
    <row r="153" customFormat="false" ht="14.25" hidden="false" customHeight="false" outlineLevel="0" collapsed="false">
      <c r="A153" s="222"/>
      <c r="B153" s="223"/>
      <c r="C153" s="224"/>
      <c r="D153" s="225" t="n">
        <v>590</v>
      </c>
      <c r="E153" s="226" t="n">
        <v>590</v>
      </c>
      <c r="F153" s="227" t="n">
        <v>590</v>
      </c>
    </row>
    <row r="154" customFormat="false" ht="14.25" hidden="false" customHeight="false" outlineLevel="0" collapsed="false">
      <c r="A154" s="222"/>
      <c r="B154" s="223"/>
      <c r="C154" s="224"/>
      <c r="D154" s="225"/>
      <c r="E154" s="226"/>
      <c r="F154" s="227" t="n">
        <v>597</v>
      </c>
    </row>
    <row r="155" customFormat="false" ht="14.25" hidden="false" customHeight="false" outlineLevel="0" collapsed="false">
      <c r="A155" s="222"/>
      <c r="B155" s="223"/>
      <c r="C155" s="224"/>
      <c r="D155" s="225"/>
      <c r="E155" s="226" t="n">
        <v>604</v>
      </c>
      <c r="F155" s="227" t="n">
        <v>604</v>
      </c>
    </row>
    <row r="156" customFormat="false" ht="14.25" hidden="false" customHeight="false" outlineLevel="0" collapsed="false">
      <c r="A156" s="222"/>
      <c r="B156" s="223"/>
      <c r="C156" s="224"/>
      <c r="D156" s="225"/>
      <c r="E156" s="226"/>
      <c r="F156" s="227" t="n">
        <v>612</v>
      </c>
    </row>
    <row r="157" customFormat="false" ht="14.25" hidden="false" customHeight="false" outlineLevel="0" collapsed="false">
      <c r="A157" s="222"/>
      <c r="B157" s="223"/>
      <c r="C157" s="224" t="n">
        <v>620</v>
      </c>
      <c r="D157" s="225" t="n">
        <v>619</v>
      </c>
      <c r="E157" s="226" t="n">
        <v>619</v>
      </c>
      <c r="F157" s="227" t="n">
        <v>619</v>
      </c>
    </row>
    <row r="158" customFormat="false" ht="14.25" hidden="false" customHeight="false" outlineLevel="0" collapsed="false">
      <c r="A158" s="222"/>
      <c r="B158" s="223"/>
      <c r="C158" s="224"/>
      <c r="D158" s="225"/>
      <c r="E158" s="226"/>
      <c r="F158" s="227" t="n">
        <v>626</v>
      </c>
    </row>
    <row r="159" customFormat="false" ht="14.25" hidden="false" customHeight="false" outlineLevel="0" collapsed="false">
      <c r="A159" s="222"/>
      <c r="B159" s="223"/>
      <c r="C159" s="224"/>
      <c r="D159" s="225"/>
      <c r="E159" s="226" t="n">
        <v>634</v>
      </c>
      <c r="F159" s="227" t="n">
        <v>634</v>
      </c>
    </row>
    <row r="160" customFormat="false" ht="14.25" hidden="false" customHeight="false" outlineLevel="0" collapsed="false">
      <c r="A160" s="222"/>
      <c r="B160" s="223"/>
      <c r="C160" s="224"/>
      <c r="D160" s="225"/>
      <c r="E160" s="226"/>
      <c r="F160" s="227" t="n">
        <v>642</v>
      </c>
    </row>
    <row r="161" customFormat="false" ht="14.25" hidden="false" customHeight="false" outlineLevel="0" collapsed="false">
      <c r="A161" s="222"/>
      <c r="B161" s="223"/>
      <c r="C161" s="224"/>
      <c r="D161" s="225" t="n">
        <v>649</v>
      </c>
      <c r="E161" s="226" t="n">
        <v>649</v>
      </c>
      <c r="F161" s="227" t="n">
        <v>649</v>
      </c>
    </row>
    <row r="162" customFormat="false" ht="14.25" hidden="false" customHeight="false" outlineLevel="0" collapsed="false">
      <c r="A162" s="222"/>
      <c r="B162" s="223"/>
      <c r="C162" s="224"/>
      <c r="D162" s="225"/>
      <c r="E162" s="226"/>
      <c r="F162" s="227" t="n">
        <v>657</v>
      </c>
    </row>
    <row r="163" customFormat="false" ht="14.25" hidden="false" customHeight="false" outlineLevel="0" collapsed="false">
      <c r="A163" s="222"/>
      <c r="B163" s="223"/>
      <c r="C163" s="224"/>
      <c r="D163" s="225"/>
      <c r="E163" s="226" t="n">
        <v>665</v>
      </c>
      <c r="F163" s="227" t="n">
        <v>665</v>
      </c>
    </row>
    <row r="164" customFormat="false" ht="14.25" hidden="false" customHeight="false" outlineLevel="0" collapsed="false">
      <c r="A164" s="222"/>
      <c r="B164" s="223"/>
      <c r="C164" s="224"/>
      <c r="D164" s="225"/>
      <c r="E164" s="226"/>
      <c r="F164" s="227" t="n">
        <v>673</v>
      </c>
    </row>
    <row r="165" customFormat="false" ht="14.25" hidden="false" customHeight="false" outlineLevel="0" collapsed="false">
      <c r="A165" s="222" t="n">
        <v>680</v>
      </c>
      <c r="B165" s="223" t="n">
        <v>680</v>
      </c>
      <c r="C165" s="224" t="n">
        <v>680</v>
      </c>
      <c r="D165" s="225" t="n">
        <v>681</v>
      </c>
      <c r="E165" s="226" t="n">
        <v>681</v>
      </c>
      <c r="F165" s="227" t="n">
        <v>681</v>
      </c>
    </row>
    <row r="166" customFormat="false" ht="14.25" hidden="false" customHeight="false" outlineLevel="0" collapsed="false">
      <c r="A166" s="222"/>
      <c r="B166" s="223"/>
      <c r="C166" s="224"/>
      <c r="D166" s="225"/>
      <c r="E166" s="226"/>
      <c r="F166" s="227" t="n">
        <v>690</v>
      </c>
    </row>
    <row r="167" customFormat="false" ht="14.25" hidden="false" customHeight="false" outlineLevel="0" collapsed="false">
      <c r="A167" s="222"/>
      <c r="B167" s="223"/>
      <c r="C167" s="224"/>
      <c r="D167" s="225"/>
      <c r="E167" s="226" t="n">
        <v>698</v>
      </c>
      <c r="F167" s="227" t="n">
        <v>698</v>
      </c>
    </row>
    <row r="168" customFormat="false" ht="14.25" hidden="false" customHeight="false" outlineLevel="0" collapsed="false">
      <c r="A168" s="222"/>
      <c r="B168" s="223"/>
      <c r="C168" s="224"/>
      <c r="D168" s="225"/>
      <c r="E168" s="226"/>
      <c r="F168" s="227" t="n">
        <v>706</v>
      </c>
    </row>
    <row r="169" customFormat="false" ht="14.25" hidden="false" customHeight="false" outlineLevel="0" collapsed="false">
      <c r="A169" s="222"/>
      <c r="B169" s="223"/>
      <c r="C169" s="224"/>
      <c r="D169" s="225" t="n">
        <v>715</v>
      </c>
      <c r="E169" s="226" t="n">
        <v>715</v>
      </c>
      <c r="F169" s="227" t="n">
        <v>715</v>
      </c>
    </row>
    <row r="170" customFormat="false" ht="14.25" hidden="false" customHeight="false" outlineLevel="0" collapsed="false">
      <c r="A170" s="222"/>
      <c r="B170" s="223"/>
      <c r="C170" s="224"/>
      <c r="D170" s="225"/>
      <c r="E170" s="226"/>
      <c r="F170" s="227" t="n">
        <v>723</v>
      </c>
    </row>
    <row r="171" customFormat="false" ht="14.25" hidden="false" customHeight="false" outlineLevel="0" collapsed="false">
      <c r="A171" s="222"/>
      <c r="B171" s="223"/>
      <c r="C171" s="224"/>
      <c r="D171" s="225"/>
      <c r="E171" s="226" t="n">
        <v>732</v>
      </c>
      <c r="F171" s="227" t="n">
        <v>732</v>
      </c>
    </row>
    <row r="172" customFormat="false" ht="14.25" hidden="false" customHeight="false" outlineLevel="0" collapsed="false">
      <c r="A172" s="222"/>
      <c r="B172" s="223"/>
      <c r="C172" s="224"/>
      <c r="D172" s="225"/>
      <c r="E172" s="226"/>
      <c r="F172" s="227" t="n">
        <v>741</v>
      </c>
    </row>
    <row r="173" customFormat="false" ht="14.25" hidden="false" customHeight="false" outlineLevel="0" collapsed="false">
      <c r="A173" s="222"/>
      <c r="B173" s="223"/>
      <c r="C173" s="224" t="n">
        <v>750</v>
      </c>
      <c r="D173" s="225" t="n">
        <v>750</v>
      </c>
      <c r="E173" s="226" t="n">
        <v>750</v>
      </c>
      <c r="F173" s="227" t="n">
        <v>750</v>
      </c>
    </row>
    <row r="174" customFormat="false" ht="14.25" hidden="false" customHeight="false" outlineLevel="0" collapsed="false">
      <c r="A174" s="222"/>
      <c r="B174" s="223"/>
      <c r="C174" s="224"/>
      <c r="D174" s="225"/>
      <c r="E174" s="226"/>
      <c r="F174" s="227" t="n">
        <v>759</v>
      </c>
    </row>
    <row r="175" customFormat="false" ht="14.25" hidden="false" customHeight="false" outlineLevel="0" collapsed="false">
      <c r="A175" s="222"/>
      <c r="B175" s="223"/>
      <c r="C175" s="224"/>
      <c r="D175" s="225"/>
      <c r="E175" s="226" t="n">
        <v>768</v>
      </c>
      <c r="F175" s="227" t="n">
        <v>768</v>
      </c>
    </row>
    <row r="176" customFormat="false" ht="14.25" hidden="false" customHeight="false" outlineLevel="0" collapsed="false">
      <c r="A176" s="222"/>
      <c r="B176" s="223"/>
      <c r="C176" s="224"/>
      <c r="D176" s="225"/>
      <c r="E176" s="226"/>
      <c r="F176" s="227" t="n">
        <v>777</v>
      </c>
    </row>
    <row r="177" customFormat="false" ht="14.25" hidden="false" customHeight="false" outlineLevel="0" collapsed="false">
      <c r="A177" s="222"/>
      <c r="B177" s="223"/>
      <c r="C177" s="224"/>
      <c r="D177" s="225" t="n">
        <v>787</v>
      </c>
      <c r="E177" s="226" t="n">
        <v>787</v>
      </c>
      <c r="F177" s="227" t="n">
        <v>787</v>
      </c>
    </row>
    <row r="178" customFormat="false" ht="14.25" hidden="false" customHeight="false" outlineLevel="0" collapsed="false">
      <c r="A178" s="222"/>
      <c r="B178" s="223"/>
      <c r="C178" s="224"/>
      <c r="D178" s="225"/>
      <c r="E178" s="226"/>
      <c r="F178" s="227" t="n">
        <v>796</v>
      </c>
    </row>
    <row r="179" customFormat="false" ht="14.25" hidden="false" customHeight="false" outlineLevel="0" collapsed="false">
      <c r="A179" s="222"/>
      <c r="B179" s="223"/>
      <c r="C179" s="224"/>
      <c r="D179" s="225"/>
      <c r="E179" s="226" t="n">
        <v>806</v>
      </c>
      <c r="F179" s="227" t="n">
        <v>806</v>
      </c>
    </row>
    <row r="180" customFormat="false" ht="14.25" hidden="false" customHeight="false" outlineLevel="0" collapsed="false">
      <c r="A180" s="222"/>
      <c r="B180" s="223"/>
      <c r="C180" s="224"/>
      <c r="D180" s="225"/>
      <c r="E180" s="226"/>
      <c r="F180" s="227" t="n">
        <v>816</v>
      </c>
    </row>
    <row r="181" customFormat="false" ht="14.25" hidden="false" customHeight="false" outlineLevel="0" collapsed="false">
      <c r="A181" s="222"/>
      <c r="B181" s="223" t="n">
        <v>820</v>
      </c>
      <c r="C181" s="224" t="n">
        <v>820</v>
      </c>
      <c r="D181" s="225" t="n">
        <v>825</v>
      </c>
      <c r="E181" s="226" t="n">
        <v>825</v>
      </c>
      <c r="F181" s="227" t="n">
        <v>825</v>
      </c>
    </row>
    <row r="182" customFormat="false" ht="14.25" hidden="false" customHeight="false" outlineLevel="0" collapsed="false">
      <c r="A182" s="222"/>
      <c r="B182" s="223"/>
      <c r="C182" s="224"/>
      <c r="D182" s="225"/>
      <c r="E182" s="226"/>
      <c r="F182" s="227" t="n">
        <v>835</v>
      </c>
    </row>
    <row r="183" customFormat="false" ht="14.25" hidden="false" customHeight="false" outlineLevel="0" collapsed="false">
      <c r="A183" s="222"/>
      <c r="B183" s="223"/>
      <c r="C183" s="224"/>
      <c r="D183" s="225"/>
      <c r="E183" s="226" t="n">
        <v>845</v>
      </c>
      <c r="F183" s="227" t="n">
        <v>845</v>
      </c>
    </row>
    <row r="184" customFormat="false" ht="14.25" hidden="false" customHeight="false" outlineLevel="0" collapsed="false">
      <c r="A184" s="222"/>
      <c r="B184" s="223"/>
      <c r="C184" s="224"/>
      <c r="D184" s="225"/>
      <c r="E184" s="226"/>
      <c r="F184" s="227" t="n">
        <v>856</v>
      </c>
    </row>
    <row r="185" customFormat="false" ht="14.25" hidden="false" customHeight="false" outlineLevel="0" collapsed="false">
      <c r="A185" s="222"/>
      <c r="B185" s="223"/>
      <c r="C185" s="224"/>
      <c r="D185" s="225" t="n">
        <v>866</v>
      </c>
      <c r="E185" s="226" t="n">
        <v>866</v>
      </c>
      <c r="F185" s="227" t="n">
        <v>866</v>
      </c>
    </row>
    <row r="186" customFormat="false" ht="14.25" hidden="false" customHeight="false" outlineLevel="0" collapsed="false">
      <c r="A186" s="222"/>
      <c r="B186" s="223"/>
      <c r="C186" s="224"/>
      <c r="D186" s="225"/>
      <c r="E186" s="226"/>
      <c r="F186" s="227" t="n">
        <v>876</v>
      </c>
    </row>
    <row r="187" customFormat="false" ht="14.25" hidden="false" customHeight="false" outlineLevel="0" collapsed="false">
      <c r="A187" s="222"/>
      <c r="B187" s="223"/>
      <c r="C187" s="224"/>
      <c r="D187" s="225"/>
      <c r="E187" s="226" t="n">
        <v>887</v>
      </c>
      <c r="F187" s="227" t="n">
        <v>887</v>
      </c>
    </row>
    <row r="188" customFormat="false" ht="14.25" hidden="false" customHeight="false" outlineLevel="0" collapsed="false">
      <c r="A188" s="222"/>
      <c r="B188" s="223"/>
      <c r="C188" s="224"/>
      <c r="D188" s="225"/>
      <c r="E188" s="226"/>
      <c r="F188" s="227" t="n">
        <v>898</v>
      </c>
    </row>
    <row r="189" customFormat="false" ht="14.25" hidden="false" customHeight="false" outlineLevel="0" collapsed="false">
      <c r="A189" s="222"/>
      <c r="B189" s="223"/>
      <c r="C189" s="224" t="n">
        <v>910</v>
      </c>
      <c r="D189" s="225" t="n">
        <v>909</v>
      </c>
      <c r="E189" s="226" t="n">
        <v>909</v>
      </c>
      <c r="F189" s="227" t="n">
        <v>909</v>
      </c>
    </row>
    <row r="190" customFormat="false" ht="14.25" hidden="false" customHeight="false" outlineLevel="0" collapsed="false">
      <c r="A190" s="222"/>
      <c r="B190" s="223"/>
      <c r="C190" s="224"/>
      <c r="D190" s="225"/>
      <c r="E190" s="226"/>
      <c r="F190" s="227" t="n">
        <v>920</v>
      </c>
    </row>
    <row r="191" customFormat="false" ht="14.25" hidden="false" customHeight="false" outlineLevel="0" collapsed="false">
      <c r="A191" s="222"/>
      <c r="B191" s="223"/>
      <c r="C191" s="224"/>
      <c r="D191" s="225"/>
      <c r="E191" s="226" t="n">
        <v>931</v>
      </c>
      <c r="F191" s="227" t="n">
        <v>931</v>
      </c>
    </row>
    <row r="192" customFormat="false" ht="14.25" hidden="false" customHeight="false" outlineLevel="0" collapsed="false">
      <c r="A192" s="222"/>
      <c r="B192" s="223"/>
      <c r="C192" s="224"/>
      <c r="D192" s="225"/>
      <c r="E192" s="226"/>
      <c r="F192" s="227" t="n">
        <v>942</v>
      </c>
    </row>
    <row r="193" customFormat="false" ht="14.25" hidden="false" customHeight="false" outlineLevel="0" collapsed="false">
      <c r="A193" s="222"/>
      <c r="B193" s="223"/>
      <c r="C193" s="224"/>
      <c r="D193" s="225" t="n">
        <v>953</v>
      </c>
      <c r="E193" s="226" t="n">
        <v>953</v>
      </c>
      <c r="F193" s="227" t="n">
        <v>953</v>
      </c>
    </row>
    <row r="194" customFormat="false" ht="14.25" hidden="false" customHeight="false" outlineLevel="0" collapsed="false">
      <c r="A194" s="222"/>
      <c r="B194" s="223"/>
      <c r="C194" s="224"/>
      <c r="D194" s="225"/>
      <c r="E194" s="226"/>
      <c r="F194" s="227" t="n">
        <v>965</v>
      </c>
    </row>
    <row r="195" customFormat="false" ht="14.25" hidden="false" customHeight="false" outlineLevel="0" collapsed="false">
      <c r="A195" s="222"/>
      <c r="B195" s="223"/>
      <c r="C195" s="224"/>
      <c r="D195" s="225"/>
      <c r="E195" s="226" t="n">
        <v>976</v>
      </c>
      <c r="F195" s="227" t="n">
        <v>976</v>
      </c>
    </row>
    <row r="196" customFormat="false" ht="14.25" hidden="false" customHeight="false" outlineLevel="0" collapsed="false">
      <c r="A196" s="222"/>
      <c r="B196" s="223"/>
      <c r="C196" s="224"/>
      <c r="D196" s="225"/>
      <c r="E196" s="226"/>
      <c r="F196" s="227" t="n">
        <v>988</v>
      </c>
    </row>
    <row r="197" customFormat="false" ht="14.25" hidden="false" customHeight="false" outlineLevel="0" collapsed="false">
      <c r="A197" s="229" t="n">
        <v>1000</v>
      </c>
      <c r="B197" s="230" t="n">
        <v>1000</v>
      </c>
      <c r="C197" s="231" t="n">
        <v>1000</v>
      </c>
      <c r="D197" s="232" t="n">
        <v>1000</v>
      </c>
      <c r="E197" s="233" t="n">
        <v>1000</v>
      </c>
      <c r="F197" s="234" t="n">
        <v>1000</v>
      </c>
      <c r="G197" s="235" t="s">
        <v>212</v>
      </c>
    </row>
  </sheetData>
  <sheetProtection sheet="true" objects="true" scenarios="true"/>
  <mergeCells count="187"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C13:C20"/>
    <mergeCell ref="D13:D16"/>
    <mergeCell ref="E13:E14"/>
    <mergeCell ref="E15:E16"/>
    <mergeCell ref="D17:D20"/>
    <mergeCell ref="E17:E18"/>
    <mergeCell ref="E19:E20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61:D64"/>
    <mergeCell ref="E61:E62"/>
    <mergeCell ref="E63:E64"/>
    <mergeCell ref="D65:D68"/>
    <mergeCell ref="E65:E66"/>
    <mergeCell ref="E67:E68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D77:D80"/>
    <mergeCell ref="E77:E78"/>
    <mergeCell ref="E79:E80"/>
    <mergeCell ref="D81:D84"/>
    <mergeCell ref="E81:E82"/>
    <mergeCell ref="E83:E84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25:D128"/>
    <mergeCell ref="E125:E126"/>
    <mergeCell ref="E127:E128"/>
    <mergeCell ref="D129:D132"/>
    <mergeCell ref="E129:E130"/>
    <mergeCell ref="E131:E132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D141:D144"/>
    <mergeCell ref="E141:E142"/>
    <mergeCell ref="E143:E144"/>
    <mergeCell ref="D145:D148"/>
    <mergeCell ref="E145:E146"/>
    <mergeCell ref="E147:E148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D189:D192"/>
    <mergeCell ref="E189:E190"/>
    <mergeCell ref="E191:E192"/>
    <mergeCell ref="D193:D196"/>
    <mergeCell ref="E193:E194"/>
    <mergeCell ref="E195:E19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7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C4" activePane="bottomRight" state="frozen"/>
      <selection pane="topLeft" activeCell="A1" activeCellId="0" sqref="A1"/>
      <selection pane="topRight" activeCell="C1" activeCellId="0" sqref="C1"/>
      <selection pane="bottomLeft" activeCell="A4" activeCellId="0" sqref="A4"/>
      <selection pane="bottomRight" activeCell="C75" activeCellId="0" sqref="C75"/>
    </sheetView>
  </sheetViews>
  <sheetFormatPr defaultColWidth="8.54296875" defaultRowHeight="14.25" zeroHeight="false" outlineLevelRow="0" outlineLevelCol="0"/>
  <cols>
    <col collapsed="false" customWidth="true" hidden="false" outlineLevel="0" max="4" min="1" style="199" width="9.33"/>
  </cols>
  <sheetData>
    <row r="1" customFormat="false" ht="25.5" hidden="false" customHeight="false" outlineLevel="0" collapsed="false">
      <c r="A1" s="236" t="s">
        <v>213</v>
      </c>
      <c r="B1" s="236"/>
    </row>
    <row r="3" customFormat="false" ht="14.25" hidden="false" customHeight="false" outlineLevel="0" collapsed="false">
      <c r="A3" s="237" t="s">
        <v>214</v>
      </c>
      <c r="B3" s="237" t="s">
        <v>130</v>
      </c>
      <c r="C3" s="237" t="s">
        <v>215</v>
      </c>
      <c r="D3" s="237" t="s">
        <v>216</v>
      </c>
    </row>
    <row r="4" customFormat="false" ht="14.25" hidden="false" customHeight="false" outlineLevel="0" collapsed="false">
      <c r="A4" s="238" t="n">
        <v>1</v>
      </c>
      <c r="B4" s="238" t="n">
        <v>1</v>
      </c>
      <c r="C4" s="238" t="n">
        <v>1</v>
      </c>
      <c r="D4" s="238" t="n">
        <v>1</v>
      </c>
    </row>
    <row r="5" customFormat="false" ht="14.25" hidden="false" customHeight="false" outlineLevel="0" collapsed="false">
      <c r="A5" s="238" t="n">
        <v>1.1</v>
      </c>
      <c r="B5" s="238" t="n">
        <v>1.1</v>
      </c>
      <c r="C5" s="238"/>
      <c r="D5" s="238"/>
    </row>
    <row r="6" customFormat="false" ht="14.25" hidden="false" customHeight="false" outlineLevel="0" collapsed="false">
      <c r="A6" s="238" t="n">
        <v>1.2</v>
      </c>
      <c r="B6" s="238" t="n">
        <v>1.2</v>
      </c>
      <c r="C6" s="238"/>
      <c r="D6" s="238"/>
    </row>
    <row r="7" customFormat="false" ht="14.25" hidden="false" customHeight="false" outlineLevel="0" collapsed="false">
      <c r="A7" s="238" t="n">
        <v>1.3</v>
      </c>
      <c r="B7" s="238" t="n">
        <v>1.3</v>
      </c>
      <c r="C7" s="238"/>
      <c r="D7" s="238"/>
    </row>
    <row r="8" customFormat="false" ht="14.25" hidden="false" customHeight="false" outlineLevel="0" collapsed="false">
      <c r="A8" s="238" t="n">
        <v>1.5</v>
      </c>
      <c r="B8" s="238" t="n">
        <v>1.5</v>
      </c>
      <c r="C8" s="238" t="n">
        <v>1.5</v>
      </c>
      <c r="D8" s="238" t="n">
        <v>1.5</v>
      </c>
    </row>
    <row r="9" customFormat="false" ht="14.25" hidden="false" customHeight="false" outlineLevel="0" collapsed="false">
      <c r="A9" s="238" t="n">
        <v>1.6</v>
      </c>
      <c r="B9" s="238" t="n">
        <v>1.6</v>
      </c>
      <c r="C9" s="238"/>
      <c r="D9" s="238"/>
    </row>
    <row r="10" customFormat="false" ht="14.25" hidden="false" customHeight="false" outlineLevel="0" collapsed="false">
      <c r="A10" s="238" t="n">
        <v>1.8</v>
      </c>
      <c r="B10" s="238" t="n">
        <v>1.8</v>
      </c>
      <c r="C10" s="238"/>
      <c r="D10" s="238"/>
    </row>
    <row r="11" customFormat="false" ht="14.25" hidden="false" customHeight="false" outlineLevel="0" collapsed="false">
      <c r="A11" s="238" t="n">
        <v>2</v>
      </c>
      <c r="B11" s="238" t="n">
        <v>2</v>
      </c>
      <c r="C11" s="238"/>
      <c r="D11" s="238"/>
    </row>
    <row r="12" customFormat="false" ht="14.25" hidden="false" customHeight="false" outlineLevel="0" collapsed="false">
      <c r="A12" s="238" t="n">
        <v>2.2</v>
      </c>
      <c r="B12" s="238" t="n">
        <v>2.2</v>
      </c>
      <c r="C12" s="238" t="n">
        <v>2.2</v>
      </c>
      <c r="D12" s="238" t="n">
        <v>2.2</v>
      </c>
    </row>
    <row r="13" customFormat="false" ht="14.25" hidden="false" customHeight="false" outlineLevel="0" collapsed="false">
      <c r="A13" s="238" t="n">
        <v>2.4</v>
      </c>
      <c r="B13" s="238" t="n">
        <v>2.4</v>
      </c>
      <c r="C13" s="238"/>
      <c r="D13" s="238"/>
    </row>
    <row r="14" customFormat="false" ht="14.25" hidden="false" customHeight="false" outlineLevel="0" collapsed="false">
      <c r="A14" s="238" t="n">
        <v>2.7</v>
      </c>
      <c r="B14" s="238" t="n">
        <v>2.7</v>
      </c>
      <c r="C14" s="238"/>
      <c r="D14" s="238"/>
    </row>
    <row r="15" customFormat="false" ht="14.25" hidden="false" customHeight="false" outlineLevel="0" collapsed="false">
      <c r="A15" s="238" t="n">
        <v>3</v>
      </c>
      <c r="B15" s="238" t="n">
        <v>3</v>
      </c>
      <c r="C15" s="238"/>
      <c r="D15" s="238"/>
    </row>
    <row r="16" customFormat="false" ht="14.25" hidden="false" customHeight="false" outlineLevel="0" collapsed="false">
      <c r="A16" s="238" t="n">
        <v>3.3</v>
      </c>
      <c r="B16" s="238" t="n">
        <v>3.3</v>
      </c>
      <c r="C16" s="238" t="n">
        <v>3.3</v>
      </c>
      <c r="D16" s="238" t="n">
        <v>3.3</v>
      </c>
    </row>
    <row r="17" customFormat="false" ht="14.25" hidden="false" customHeight="false" outlineLevel="0" collapsed="false">
      <c r="A17" s="238" t="n">
        <v>3.6</v>
      </c>
      <c r="B17" s="238" t="n">
        <v>3.6</v>
      </c>
      <c r="C17" s="238" t="n">
        <f aca="false">C18</f>
        <v>4.7</v>
      </c>
      <c r="D17" s="238"/>
    </row>
    <row r="18" customFormat="false" ht="14.25" hidden="false" customHeight="false" outlineLevel="0" collapsed="false">
      <c r="A18" s="238" t="n">
        <v>3.9</v>
      </c>
      <c r="B18" s="238" t="n">
        <v>3.9</v>
      </c>
      <c r="C18" s="238" t="n">
        <f aca="false">C19</f>
        <v>4.7</v>
      </c>
      <c r="D18" s="238"/>
    </row>
    <row r="19" customFormat="false" ht="14.25" hidden="false" customHeight="false" outlineLevel="0" collapsed="false">
      <c r="A19" s="238" t="n">
        <v>4.3</v>
      </c>
      <c r="B19" s="238" t="n">
        <v>4.3</v>
      </c>
      <c r="C19" s="238" t="n">
        <f aca="false">C20</f>
        <v>4.7</v>
      </c>
      <c r="D19" s="238"/>
    </row>
    <row r="20" customFormat="false" ht="14.25" hidden="false" customHeight="false" outlineLevel="0" collapsed="false">
      <c r="A20" s="238" t="n">
        <v>4.7</v>
      </c>
      <c r="B20" s="238" t="n">
        <v>4.7</v>
      </c>
      <c r="C20" s="238" t="n">
        <v>4.7</v>
      </c>
      <c r="D20" s="238" t="n">
        <v>4.7</v>
      </c>
    </row>
    <row r="21" customFormat="false" ht="14.25" hidden="false" customHeight="false" outlineLevel="0" collapsed="false">
      <c r="A21" s="238" t="n">
        <v>5.1</v>
      </c>
      <c r="B21" s="238" t="n">
        <v>5.1</v>
      </c>
      <c r="C21" s="238" t="n">
        <f aca="false">C22</f>
        <v>6.8</v>
      </c>
      <c r="D21" s="238"/>
    </row>
    <row r="22" customFormat="false" ht="14.25" hidden="false" customHeight="false" outlineLevel="0" collapsed="false">
      <c r="A22" s="238" t="n">
        <v>5.6</v>
      </c>
      <c r="B22" s="238" t="n">
        <v>5.6</v>
      </c>
      <c r="C22" s="238" t="n">
        <f aca="false">C23</f>
        <v>6.8</v>
      </c>
      <c r="D22" s="238"/>
    </row>
    <row r="23" customFormat="false" ht="14.25" hidden="false" customHeight="false" outlineLevel="0" collapsed="false">
      <c r="A23" s="238" t="n">
        <v>6.2</v>
      </c>
      <c r="B23" s="238" t="n">
        <v>6.2</v>
      </c>
      <c r="C23" s="238" t="n">
        <f aca="false">C24</f>
        <v>6.8</v>
      </c>
      <c r="D23" s="238"/>
    </row>
    <row r="24" customFormat="false" ht="14.25" hidden="false" customHeight="false" outlineLevel="0" collapsed="false">
      <c r="A24" s="238" t="n">
        <v>6.8</v>
      </c>
      <c r="B24" s="238" t="n">
        <v>6.8</v>
      </c>
      <c r="C24" s="238" t="n">
        <v>6.8</v>
      </c>
      <c r="D24" s="238" t="n">
        <v>6.8</v>
      </c>
    </row>
    <row r="25" customFormat="false" ht="14.25" hidden="false" customHeight="false" outlineLevel="0" collapsed="false">
      <c r="A25" s="238" t="n">
        <v>7.5</v>
      </c>
      <c r="B25" s="238" t="n">
        <v>7.5</v>
      </c>
      <c r="C25" s="238" t="n">
        <f aca="false">C26</f>
        <v>10</v>
      </c>
      <c r="D25" s="238"/>
    </row>
    <row r="26" customFormat="false" ht="14.25" hidden="false" customHeight="false" outlineLevel="0" collapsed="false">
      <c r="A26" s="238" t="n">
        <v>8.2</v>
      </c>
      <c r="B26" s="238" t="n">
        <v>8.2</v>
      </c>
      <c r="C26" s="238" t="n">
        <f aca="false">C27</f>
        <v>10</v>
      </c>
      <c r="D26" s="238"/>
    </row>
    <row r="27" customFormat="false" ht="14.25" hidden="false" customHeight="false" outlineLevel="0" collapsed="false">
      <c r="A27" s="238" t="n">
        <v>9.1</v>
      </c>
      <c r="B27" s="238" t="n">
        <v>9.1</v>
      </c>
      <c r="C27" s="238" t="n">
        <f aca="false">C28</f>
        <v>10</v>
      </c>
      <c r="D27" s="238"/>
    </row>
    <row r="28" customFormat="false" ht="14.25" hidden="false" customHeight="false" outlineLevel="0" collapsed="false">
      <c r="A28" s="238" t="n">
        <v>10</v>
      </c>
      <c r="B28" s="238" t="n">
        <v>10</v>
      </c>
      <c r="C28" s="238" t="n">
        <v>10</v>
      </c>
      <c r="D28" s="238" t="n">
        <v>10</v>
      </c>
    </row>
    <row r="29" customFormat="false" ht="14.25" hidden="false" customHeight="false" outlineLevel="0" collapsed="false">
      <c r="A29" s="238" t="n">
        <v>11</v>
      </c>
      <c r="B29" s="238" t="n">
        <f aca="false">B30</f>
        <v>15</v>
      </c>
      <c r="C29" s="238" t="n">
        <f aca="false">C30</f>
        <v>15</v>
      </c>
      <c r="D29" s="238"/>
    </row>
    <row r="30" customFormat="false" ht="14.25" hidden="false" customHeight="false" outlineLevel="0" collapsed="false">
      <c r="A30" s="238" t="n">
        <v>12</v>
      </c>
      <c r="B30" s="238" t="n">
        <f aca="false">B31</f>
        <v>15</v>
      </c>
      <c r="C30" s="238" t="n">
        <f aca="false">C31</f>
        <v>15</v>
      </c>
      <c r="D30" s="238"/>
    </row>
    <row r="31" customFormat="false" ht="14.25" hidden="false" customHeight="false" outlineLevel="0" collapsed="false">
      <c r="A31" s="238" t="n">
        <v>13</v>
      </c>
      <c r="B31" s="238" t="n">
        <f aca="false">B32</f>
        <v>15</v>
      </c>
      <c r="C31" s="238" t="n">
        <f aca="false">C32</f>
        <v>15</v>
      </c>
      <c r="D31" s="238"/>
    </row>
    <row r="32" customFormat="false" ht="14.25" hidden="false" customHeight="false" outlineLevel="0" collapsed="false">
      <c r="A32" s="238" t="n">
        <v>15</v>
      </c>
      <c r="B32" s="238" t="n">
        <v>15</v>
      </c>
      <c r="C32" s="238" t="n">
        <v>15</v>
      </c>
      <c r="D32" s="238"/>
      <c r="F32" s="239"/>
    </row>
    <row r="33" customFormat="false" ht="14.25" hidden="false" customHeight="false" outlineLevel="0" collapsed="false">
      <c r="A33" s="238" t="n">
        <v>16</v>
      </c>
      <c r="B33" s="238" t="n">
        <f aca="false">B34</f>
        <v>22</v>
      </c>
      <c r="C33" s="238" t="n">
        <f aca="false">C34</f>
        <v>22</v>
      </c>
      <c r="D33" s="238"/>
    </row>
    <row r="34" customFormat="false" ht="14.25" hidden="false" customHeight="false" outlineLevel="0" collapsed="false">
      <c r="A34" s="238" t="n">
        <v>18</v>
      </c>
      <c r="B34" s="238" t="n">
        <f aca="false">B35</f>
        <v>22</v>
      </c>
      <c r="C34" s="238" t="n">
        <f aca="false">C35</f>
        <v>22</v>
      </c>
      <c r="D34" s="238"/>
    </row>
    <row r="35" customFormat="false" ht="14.25" hidden="false" customHeight="false" outlineLevel="0" collapsed="false">
      <c r="A35" s="238" t="n">
        <v>20</v>
      </c>
      <c r="B35" s="238" t="n">
        <f aca="false">B36</f>
        <v>22</v>
      </c>
      <c r="C35" s="238" t="n">
        <f aca="false">C36</f>
        <v>22</v>
      </c>
      <c r="D35" s="238"/>
    </row>
    <row r="36" customFormat="false" ht="14.25" hidden="false" customHeight="false" outlineLevel="0" collapsed="false">
      <c r="A36" s="238" t="n">
        <v>22</v>
      </c>
      <c r="B36" s="238" t="n">
        <v>22</v>
      </c>
      <c r="C36" s="238" t="n">
        <v>22</v>
      </c>
      <c r="D36" s="238"/>
    </row>
    <row r="37" customFormat="false" ht="14.25" hidden="false" customHeight="false" outlineLevel="0" collapsed="false">
      <c r="A37" s="238" t="n">
        <v>24</v>
      </c>
      <c r="B37" s="238" t="n">
        <f aca="false">B38</f>
        <v>33</v>
      </c>
      <c r="C37" s="238" t="n">
        <f aca="false">C38</f>
        <v>33</v>
      </c>
      <c r="D37" s="238"/>
    </row>
    <row r="38" customFormat="false" ht="14.25" hidden="false" customHeight="false" outlineLevel="0" collapsed="false">
      <c r="A38" s="238" t="n">
        <v>27</v>
      </c>
      <c r="B38" s="238" t="n">
        <f aca="false">B39</f>
        <v>33</v>
      </c>
      <c r="C38" s="238" t="n">
        <f aca="false">C39</f>
        <v>33</v>
      </c>
      <c r="D38" s="238"/>
    </row>
    <row r="39" customFormat="false" ht="14.25" hidden="false" customHeight="false" outlineLevel="0" collapsed="false">
      <c r="A39" s="238" t="n">
        <v>30</v>
      </c>
      <c r="B39" s="238" t="n">
        <f aca="false">B40</f>
        <v>33</v>
      </c>
      <c r="C39" s="238" t="n">
        <f aca="false">C40</f>
        <v>33</v>
      </c>
      <c r="D39" s="238"/>
    </row>
    <row r="40" customFormat="false" ht="14.25" hidden="false" customHeight="false" outlineLevel="0" collapsed="false">
      <c r="A40" s="238" t="n">
        <v>33</v>
      </c>
      <c r="B40" s="238" t="n">
        <v>33</v>
      </c>
      <c r="C40" s="238" t="n">
        <v>33</v>
      </c>
      <c r="D40" s="238"/>
    </row>
    <row r="41" customFormat="false" ht="14.25" hidden="false" customHeight="false" outlineLevel="0" collapsed="false">
      <c r="A41" s="238" t="n">
        <v>36</v>
      </c>
      <c r="B41" s="238" t="n">
        <f aca="false">B42</f>
        <v>47</v>
      </c>
      <c r="C41" s="238" t="n">
        <f aca="false">C42</f>
        <v>47</v>
      </c>
      <c r="D41" s="238"/>
    </row>
    <row r="42" customFormat="false" ht="14.25" hidden="false" customHeight="false" outlineLevel="0" collapsed="false">
      <c r="A42" s="238" t="n">
        <v>39</v>
      </c>
      <c r="B42" s="238" t="n">
        <f aca="false">B43</f>
        <v>47</v>
      </c>
      <c r="C42" s="238" t="n">
        <f aca="false">C43</f>
        <v>47</v>
      </c>
      <c r="D42" s="238"/>
    </row>
    <row r="43" customFormat="false" ht="14.25" hidden="false" customHeight="false" outlineLevel="0" collapsed="false">
      <c r="A43" s="238" t="n">
        <v>43</v>
      </c>
      <c r="B43" s="238" t="n">
        <f aca="false">B44</f>
        <v>47</v>
      </c>
      <c r="C43" s="238" t="n">
        <f aca="false">C44</f>
        <v>47</v>
      </c>
      <c r="D43" s="238"/>
    </row>
    <row r="44" customFormat="false" ht="14.25" hidden="false" customHeight="false" outlineLevel="0" collapsed="false">
      <c r="A44" s="238" t="n">
        <v>47</v>
      </c>
      <c r="B44" s="238" t="n">
        <v>47</v>
      </c>
      <c r="C44" s="238" t="n">
        <v>47</v>
      </c>
      <c r="D44" s="238"/>
    </row>
    <row r="45" customFormat="false" ht="14.25" hidden="false" customHeight="false" outlineLevel="0" collapsed="false">
      <c r="A45" s="238" t="n">
        <v>51</v>
      </c>
      <c r="B45" s="238" t="n">
        <f aca="false">B46</f>
        <v>68</v>
      </c>
      <c r="C45" s="238" t="n">
        <f aca="false">C46</f>
        <v>68</v>
      </c>
      <c r="D45" s="238"/>
    </row>
    <row r="46" customFormat="false" ht="14.25" hidden="false" customHeight="false" outlineLevel="0" collapsed="false">
      <c r="A46" s="238" t="n">
        <v>56</v>
      </c>
      <c r="B46" s="238" t="n">
        <f aca="false">B47</f>
        <v>68</v>
      </c>
      <c r="C46" s="238" t="n">
        <f aca="false">C47</f>
        <v>68</v>
      </c>
      <c r="D46" s="238"/>
    </row>
    <row r="47" customFormat="false" ht="14.25" hidden="false" customHeight="false" outlineLevel="0" collapsed="false">
      <c r="A47" s="238" t="n">
        <v>62</v>
      </c>
      <c r="B47" s="238" t="n">
        <f aca="false">B48</f>
        <v>68</v>
      </c>
      <c r="C47" s="238" t="n">
        <f aca="false">C48</f>
        <v>68</v>
      </c>
      <c r="D47" s="238"/>
    </row>
    <row r="48" customFormat="false" ht="14.25" hidden="false" customHeight="false" outlineLevel="0" collapsed="false">
      <c r="A48" s="238" t="n">
        <v>68</v>
      </c>
      <c r="B48" s="238" t="n">
        <v>68</v>
      </c>
      <c r="C48" s="238" t="n">
        <v>68</v>
      </c>
      <c r="D48" s="238"/>
    </row>
    <row r="49" customFormat="false" ht="14.25" hidden="false" customHeight="false" outlineLevel="0" collapsed="false">
      <c r="A49" s="238" t="n">
        <v>75</v>
      </c>
      <c r="B49" s="238" t="n">
        <f aca="false">B50</f>
        <v>100</v>
      </c>
      <c r="C49" s="238" t="n">
        <f aca="false">C50</f>
        <v>100</v>
      </c>
      <c r="D49" s="238"/>
    </row>
    <row r="50" customFormat="false" ht="14.25" hidden="false" customHeight="false" outlineLevel="0" collapsed="false">
      <c r="A50" s="238" t="n">
        <v>82</v>
      </c>
      <c r="B50" s="238" t="n">
        <f aca="false">B51</f>
        <v>100</v>
      </c>
      <c r="C50" s="238" t="n">
        <f aca="false">C51</f>
        <v>100</v>
      </c>
      <c r="D50" s="238"/>
    </row>
    <row r="51" customFormat="false" ht="14.25" hidden="false" customHeight="false" outlineLevel="0" collapsed="false">
      <c r="A51" s="238" t="n">
        <v>91</v>
      </c>
      <c r="B51" s="238" t="n">
        <f aca="false">B52</f>
        <v>100</v>
      </c>
      <c r="C51" s="238" t="n">
        <f aca="false">C52</f>
        <v>100</v>
      </c>
      <c r="D51" s="238"/>
    </row>
    <row r="52" customFormat="false" ht="14.25" hidden="false" customHeight="false" outlineLevel="0" collapsed="false">
      <c r="A52" s="238" t="n">
        <v>100</v>
      </c>
      <c r="B52" s="238" t="n">
        <v>100</v>
      </c>
      <c r="C52" s="238" t="n">
        <v>100</v>
      </c>
    </row>
    <row r="53" customFormat="false" ht="14.25" hidden="false" customHeight="false" outlineLevel="0" collapsed="false">
      <c r="A53" s="238" t="n">
        <v>110</v>
      </c>
      <c r="B53" s="238" t="n">
        <f aca="false">B54</f>
        <v>150</v>
      </c>
      <c r="C53" s="238" t="n">
        <f aca="false">C54</f>
        <v>150</v>
      </c>
    </row>
    <row r="54" customFormat="false" ht="14.25" hidden="false" customHeight="false" outlineLevel="0" collapsed="false">
      <c r="A54" s="238" t="n">
        <v>120</v>
      </c>
      <c r="B54" s="238" t="n">
        <f aca="false">B55</f>
        <v>150</v>
      </c>
      <c r="C54" s="238" t="n">
        <f aca="false">C55</f>
        <v>150</v>
      </c>
    </row>
    <row r="55" customFormat="false" ht="14.25" hidden="false" customHeight="false" outlineLevel="0" collapsed="false">
      <c r="A55" s="238" t="n">
        <v>130</v>
      </c>
      <c r="B55" s="238" t="n">
        <f aca="false">B56</f>
        <v>150</v>
      </c>
      <c r="C55" s="238" t="n">
        <f aca="false">C56</f>
        <v>150</v>
      </c>
    </row>
    <row r="56" customFormat="false" ht="14.25" hidden="false" customHeight="false" outlineLevel="0" collapsed="false">
      <c r="A56" s="238" t="n">
        <v>150</v>
      </c>
      <c r="B56" s="238" t="n">
        <v>150</v>
      </c>
      <c r="C56" s="238" t="n">
        <v>150</v>
      </c>
    </row>
    <row r="57" customFormat="false" ht="14.25" hidden="false" customHeight="false" outlineLevel="0" collapsed="false">
      <c r="A57" s="238" t="n">
        <v>160</v>
      </c>
      <c r="B57" s="238" t="n">
        <f aca="false">B58</f>
        <v>220</v>
      </c>
      <c r="C57" s="238" t="n">
        <f aca="false">C58</f>
        <v>220</v>
      </c>
    </row>
    <row r="58" customFormat="false" ht="14.25" hidden="false" customHeight="false" outlineLevel="0" collapsed="false">
      <c r="A58" s="238" t="n">
        <v>180</v>
      </c>
      <c r="B58" s="238" t="n">
        <f aca="false">B59</f>
        <v>220</v>
      </c>
      <c r="C58" s="238" t="n">
        <f aca="false">C59</f>
        <v>220</v>
      </c>
    </row>
    <row r="59" customFormat="false" ht="14.25" hidden="false" customHeight="false" outlineLevel="0" collapsed="false">
      <c r="A59" s="238" t="n">
        <v>200</v>
      </c>
      <c r="B59" s="238" t="n">
        <f aca="false">B60</f>
        <v>220</v>
      </c>
      <c r="C59" s="238" t="n">
        <f aca="false">C60</f>
        <v>220</v>
      </c>
    </row>
    <row r="60" customFormat="false" ht="14.25" hidden="false" customHeight="false" outlineLevel="0" collapsed="false">
      <c r="A60" s="238" t="n">
        <v>220</v>
      </c>
      <c r="B60" s="238" t="n">
        <v>220</v>
      </c>
      <c r="C60" s="238" t="n">
        <v>220</v>
      </c>
    </row>
    <row r="61" customFormat="false" ht="14.25" hidden="false" customHeight="false" outlineLevel="0" collapsed="false">
      <c r="A61" s="238" t="n">
        <v>240</v>
      </c>
      <c r="B61" s="238" t="n">
        <f aca="false">B62</f>
        <v>330</v>
      </c>
      <c r="C61" s="238" t="n">
        <f aca="false">C62</f>
        <v>330</v>
      </c>
    </row>
    <row r="62" customFormat="false" ht="14.25" hidden="false" customHeight="false" outlineLevel="0" collapsed="false">
      <c r="A62" s="238" t="n">
        <v>270</v>
      </c>
      <c r="B62" s="238" t="n">
        <f aca="false">B63</f>
        <v>330</v>
      </c>
      <c r="C62" s="238" t="n">
        <f aca="false">C63</f>
        <v>330</v>
      </c>
    </row>
    <row r="63" customFormat="false" ht="14.25" hidden="false" customHeight="false" outlineLevel="0" collapsed="false">
      <c r="A63" s="238" t="n">
        <v>300</v>
      </c>
      <c r="B63" s="238" t="n">
        <f aca="false">B64</f>
        <v>330</v>
      </c>
      <c r="C63" s="238" t="n">
        <f aca="false">C64</f>
        <v>330</v>
      </c>
    </row>
    <row r="64" customFormat="false" ht="14.25" hidden="false" customHeight="false" outlineLevel="0" collapsed="false">
      <c r="A64" s="238" t="n">
        <v>330</v>
      </c>
      <c r="B64" s="238" t="n">
        <v>330</v>
      </c>
      <c r="C64" s="238" t="n">
        <v>330</v>
      </c>
    </row>
    <row r="65" customFormat="false" ht="14.25" hidden="false" customHeight="false" outlineLevel="0" collapsed="false">
      <c r="A65" s="238" t="n">
        <v>360</v>
      </c>
      <c r="B65" s="238" t="n">
        <f aca="false">B66</f>
        <v>470</v>
      </c>
      <c r="C65" s="238" t="n">
        <f aca="false">C66</f>
        <v>470</v>
      </c>
    </row>
    <row r="66" customFormat="false" ht="14.25" hidden="false" customHeight="false" outlineLevel="0" collapsed="false">
      <c r="A66" s="238" t="n">
        <v>390</v>
      </c>
      <c r="B66" s="238" t="n">
        <f aca="false">B67</f>
        <v>470</v>
      </c>
      <c r="C66" s="238" t="n">
        <f aca="false">C67</f>
        <v>470</v>
      </c>
    </row>
    <row r="67" customFormat="false" ht="14.25" hidden="false" customHeight="false" outlineLevel="0" collapsed="false">
      <c r="A67" s="238" t="n">
        <v>430</v>
      </c>
      <c r="B67" s="238" t="n">
        <f aca="false">B68</f>
        <v>470</v>
      </c>
      <c r="C67" s="238" t="n">
        <f aca="false">C68</f>
        <v>470</v>
      </c>
    </row>
    <row r="68" customFormat="false" ht="14.25" hidden="false" customHeight="false" outlineLevel="0" collapsed="false">
      <c r="A68" s="238" t="n">
        <v>470</v>
      </c>
      <c r="B68" s="238" t="n">
        <v>470</v>
      </c>
      <c r="C68" s="238" t="n">
        <v>470</v>
      </c>
    </row>
    <row r="69" customFormat="false" ht="14.25" hidden="false" customHeight="false" outlineLevel="0" collapsed="false">
      <c r="A69" s="238" t="n">
        <v>510</v>
      </c>
      <c r="B69" s="238" t="n">
        <f aca="false">B70</f>
        <v>680</v>
      </c>
      <c r="C69" s="238" t="n">
        <f aca="false">C70</f>
        <v>680</v>
      </c>
    </row>
    <row r="70" customFormat="false" ht="14.25" hidden="false" customHeight="false" outlineLevel="0" collapsed="false">
      <c r="A70" s="238" t="n">
        <v>560</v>
      </c>
      <c r="B70" s="238" t="n">
        <f aca="false">B71</f>
        <v>680</v>
      </c>
      <c r="C70" s="238" t="n">
        <f aca="false">C71</f>
        <v>680</v>
      </c>
    </row>
    <row r="71" customFormat="false" ht="14.25" hidden="false" customHeight="false" outlineLevel="0" collapsed="false">
      <c r="A71" s="238" t="n">
        <v>620</v>
      </c>
      <c r="B71" s="238" t="n">
        <f aca="false">B72</f>
        <v>680</v>
      </c>
      <c r="C71" s="238" t="n">
        <f aca="false">C72</f>
        <v>680</v>
      </c>
    </row>
    <row r="72" customFormat="false" ht="14.25" hidden="false" customHeight="false" outlineLevel="0" collapsed="false">
      <c r="A72" s="238" t="n">
        <v>680</v>
      </c>
      <c r="B72" s="238" t="n">
        <v>680</v>
      </c>
      <c r="C72" s="238" t="n">
        <v>680</v>
      </c>
    </row>
    <row r="73" customFormat="false" ht="14.25" hidden="false" customHeight="false" outlineLevel="0" collapsed="false">
      <c r="A73" s="238" t="n">
        <v>750</v>
      </c>
      <c r="B73" s="238" t="n">
        <f aca="false">B74</f>
        <v>1000</v>
      </c>
      <c r="C73" s="238" t="n">
        <f aca="false">C74</f>
        <v>1000</v>
      </c>
    </row>
    <row r="74" customFormat="false" ht="14.25" hidden="false" customHeight="false" outlineLevel="0" collapsed="false">
      <c r="A74" s="238" t="n">
        <v>820</v>
      </c>
      <c r="B74" s="238" t="n">
        <f aca="false">B75</f>
        <v>1000</v>
      </c>
      <c r="C74" s="238" t="n">
        <f aca="false">C75</f>
        <v>1000</v>
      </c>
    </row>
    <row r="75" customFormat="false" ht="14.25" hidden="false" customHeight="false" outlineLevel="0" collapsed="false">
      <c r="A75" s="238" t="n">
        <v>910</v>
      </c>
      <c r="B75" s="238" t="n">
        <v>1000</v>
      </c>
      <c r="C75" s="238" t="n">
        <v>1000</v>
      </c>
    </row>
  </sheetData>
  <sheetProtection sheet="true" objects="true" scenarios="true"/>
  <hyperlinks>
    <hyperlink ref="A1" r:id="rId1" display="Standard Capacitor Value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1801</TotalTime>
  <Application>LibreOffice/7.5.5.2$Windows_X86_64 LibreOffice_project/ca8fe7424262805f223b9a2334bc7181abbcbf5e</Application>
  <AppVersion>15.0000</AppVersion>
  <Company>Texas Instruments Incorporated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2013-05-30T14:28:05Z</dcterms:created>
  <dc:creator>vishal.gupta@ti.com</dc:creator>
  <dc:description/>
  <dc:language>en-US</dc:language>
  <cp:lastModifiedBy/>
  <cp:lastPrinted>2013-06-05T10:58:25Z</cp:lastPrinted>
  <dcterms:modified xsi:type="dcterms:W3CDTF">2023-11-14T02:32:59Z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